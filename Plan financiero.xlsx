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istorial 2026" sheetId="2" state="visible" r:id="rId2"/>
    <sheet xmlns:r="http://schemas.openxmlformats.org/officeDocument/2006/relationships" name="Plan de pago" sheetId="3" state="visible" r:id="rId3"/>
    <sheet xmlns:r="http://schemas.openxmlformats.org/officeDocument/2006/relationships" name="Cuotas a vencer" sheetId="4" state="visible" r:id="rId4"/>
    <sheet xmlns:r="http://schemas.openxmlformats.org/officeDocument/2006/relationships" name="Gastos viaje a reembolsar" sheetId="5" state="visible" r:id="rId5"/>
    <sheet xmlns:r="http://schemas.openxmlformats.org/officeDocument/2006/relationships" name="Calendario de vencimientos" sheetId="6" state="visible" r:id="rId6"/>
    <sheet xmlns:r="http://schemas.openxmlformats.org/officeDocument/2006/relationships" name="Plan 12 meses" sheetId="7" state="visible" r:id="rId7"/>
    <sheet xmlns:r="http://schemas.openxmlformats.org/officeDocument/2006/relationships" name="Plan a 203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4" fontId="6" fillId="0" borderId="1" pivotButton="0" quotePrefix="0" xfId="0"/>
    <xf numFmtId="10" fontId="6" fillId="0" borderId="1" pivotButton="0" quotePrefix="0" xfId="0"/>
    <xf numFmtId="0" fontId="6" fillId="0" borderId="1" applyAlignment="1" pivotButton="0" quotePrefix="0" xfId="0">
      <alignment vertical="center" wrapText="1"/>
    </xf>
    <xf numFmtId="0" fontId="6" fillId="4" borderId="1" pivotButton="0" quotePrefix="0" xfId="0"/>
    <xf numFmtId="164" fontId="6" fillId="4" borderId="1" pivotButton="0" quotePrefix="0" xfId="0"/>
    <xf numFmtId="4" fontId="6" fillId="4" borderId="1" pivotButton="0" quotePrefix="0" xfId="0"/>
    <xf numFmtId="10" fontId="6" fillId="4" borderId="1" pivotButton="0" quotePrefix="0" xfId="0"/>
    <xf numFmtId="0" fontId="7" fillId="4" borderId="1" applyAlignment="1" pivotButton="0" quotePrefix="0" xfId="0">
      <alignment vertical="center" wrapText="1"/>
    </xf>
    <xf numFmtId="0" fontId="3" fillId="5" borderId="1" pivotButton="0" quotePrefix="0" xfId="0"/>
    <xf numFmtId="0" fontId="0" fillId="5" borderId="1" pivotButton="0" quotePrefix="0" xfId="0"/>
    <xf numFmtId="164" fontId="3" fillId="5" borderId="1" pivotButton="0" quotePrefix="0" xfId="0"/>
    <xf numFmtId="4" fontId="3" fillId="5" borderId="1" pivotButton="0" quotePrefix="0" xfId="0"/>
    <xf numFmtId="0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  <xf numFmtId="0" fontId="3" fillId="5" borderId="0" pivotButton="0" quotePrefix="0" xfId="0"/>
    <xf numFmtId="0" fontId="0" fillId="5" borderId="0" pivotButton="0" quotePrefix="0" xfId="0"/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6" borderId="1" applyAlignment="1" pivotButton="0" quotePrefix="0" xfId="0">
      <alignment vertical="top" wrapText="1"/>
    </xf>
    <xf numFmtId="164" fontId="3" fillId="0" borderId="1" pivotButton="0" quotePrefix="0" xfId="0"/>
    <xf numFmtId="4" fontId="6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4" fillId="2" borderId="1" pivotButton="0" quotePrefix="0" xfId="0"/>
    <xf numFmtId="164" fontId="4" fillId="2" borderId="1" pivotButton="0" quotePrefix="0" xfId="0"/>
    <xf numFmtId="10" fontId="4" fillId="2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164" fontId="3" fillId="6" borderId="0" pivotButton="0" quotePrefix="0" xfId="0"/>
    <xf numFmtId="165" fontId="3" fillId="0" borderId="1" applyAlignment="1" pivotButton="0" quotePrefix="0" xfId="0">
      <alignment vertical="top" wrapText="1"/>
    </xf>
    <xf numFmtId="165" fontId="3" fillId="5" borderId="1" pivotButton="0" quotePrefix="0" xfId="0"/>
    <xf numFmtId="164" fontId="6" fillId="0" borderId="0" pivotButton="0" quotePrefix="0" xfId="0"/>
    <xf numFmtId="9" fontId="4" fillId="2" borderId="0" pivotButton="0" quotePrefix="0" xfId="0"/>
    <xf numFmtId="164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20" customWidth="1" min="4" max="4"/>
    <col width="60" customWidth="1" min="5" max="5"/>
    <col width="11" customWidth="1" min="6" max="6"/>
    <col width="14" customWidth="1" min="7" max="7"/>
    <col width="15" customWidth="1" min="8" max="8"/>
    <col width="14" customWidth="1" min="9" max="9"/>
    <col width="9" customWidth="1" min="10" max="10"/>
    <col width="9" customWidth="1" min="11" max="11"/>
    <col width="16" customWidth="1" min="12" max="12"/>
    <col width="30" customWidth="1" min="13" max="13"/>
  </cols>
  <sheetData>
    <row r="1">
      <c r="A1" s="1" t="inlineStr">
        <is>
          <t>Situación de tarjetas — último resumen disponible</t>
        </is>
      </c>
    </row>
    <row r="2">
      <c r="A2" s="2" t="inlineStr">
        <is>
          <t>Datos tomados de los PDF de cada banco. Ojo: el último resumen cargado es de junio 2026; faltan los cierres de julio.</t>
        </is>
      </c>
    </row>
    <row r="4">
      <c r="A4" s="3" t="inlineStr">
        <is>
          <t>Tipo de cambio de referencia (editable)</t>
        </is>
      </c>
      <c r="D4" s="4" t="n">
        <v>1420</v>
      </c>
      <c r="E4" s="2" t="inlineStr">
        <is>
          <t>TC vendedor usado en los resúmenes de mayo/junio 2026</t>
        </is>
      </c>
    </row>
    <row r="6" ht="30" customHeight="1">
      <c r="A6" s="5" t="inlineStr">
        <is>
          <t>Banco</t>
        </is>
      </c>
      <c r="B6" s="5" t="inlineStr">
        <is>
          <t>Tarjeta</t>
        </is>
      </c>
      <c r="C6" s="5" t="inlineStr">
        <is>
          <t>Cierre</t>
        </is>
      </c>
      <c r="D6" s="5" t="inlineStr">
        <is>
          <t>Vencimiento</t>
        </is>
      </c>
      <c r="E6" s="5" t="inlineStr">
        <is>
          <t>Saldo $</t>
        </is>
      </c>
      <c r="F6" s="5" t="inlineStr">
        <is>
          <t>Saldo U$S</t>
        </is>
      </c>
      <c r="G6" s="5" t="inlineStr">
        <is>
          <t>U$S en pesos</t>
        </is>
      </c>
      <c r="H6" s="5" t="inlineStr">
        <is>
          <t>Deuda total $</t>
        </is>
      </c>
      <c r="I6" s="5" t="inlineStr">
        <is>
          <t>Pago mínimo $</t>
        </is>
      </c>
      <c r="J6" s="5" t="inlineStr">
        <is>
          <t>TNA</t>
        </is>
      </c>
      <c r="K6" s="5" t="inlineStr">
        <is>
          <t>TEM</t>
        </is>
      </c>
      <c r="L6" s="5" t="inlineStr">
        <is>
          <t>Costo mensual si se financia</t>
        </is>
      </c>
      <c r="M6" s="5" t="inlineStr">
        <is>
          <t>Estado</t>
        </is>
      </c>
    </row>
    <row r="7">
      <c r="A7" s="6" t="inlineStr">
        <is>
          <t>Galicia</t>
        </is>
      </c>
      <c r="B7" s="6" t="inlineStr">
        <is>
          <t>VISA Gold</t>
        </is>
      </c>
      <c r="C7" s="6" t="inlineStr">
        <is>
          <t>18/06/2026</t>
        </is>
      </c>
      <c r="D7" s="6" t="inlineStr">
        <is>
          <t>26/06/2026</t>
        </is>
      </c>
      <c r="E7" s="7" t="n">
        <v>3016370.5</v>
      </c>
      <c r="F7" s="8" t="n">
        <v>292.72</v>
      </c>
      <c r="G7" s="7">
        <f>F7*$D$4</f>
        <v/>
      </c>
      <c r="H7" s="7">
        <f>E7+G7</f>
        <v/>
      </c>
      <c r="I7" s="7" t="n">
        <v>371680</v>
      </c>
      <c r="J7" s="9" t="n">
        <v>0.8724</v>
      </c>
      <c r="K7" s="9" t="n">
        <v>0.0717</v>
      </c>
      <c r="L7" s="7">
        <f>H7*K7*1.21</f>
        <v/>
      </c>
      <c r="M7" s="10" t="inlineStr">
        <is>
          <t>Se paga completa todos los meses</t>
        </is>
      </c>
    </row>
    <row r="8">
      <c r="A8" s="11" t="inlineStr">
        <is>
          <t>Galicia</t>
        </is>
      </c>
      <c r="B8" s="11" t="inlineStr">
        <is>
          <t>Mastercard Gold</t>
        </is>
      </c>
      <c r="C8" s="11" t="inlineStr">
        <is>
          <t>28/05/2026</t>
        </is>
      </c>
      <c r="D8" s="11" t="inlineStr">
        <is>
          <t>05/06/2026</t>
        </is>
      </c>
      <c r="E8" s="12" t="n">
        <v>651462.63</v>
      </c>
      <c r="F8" s="13" t="n">
        <v>0</v>
      </c>
      <c r="G8" s="12">
        <f>F8*$D$4</f>
        <v/>
      </c>
      <c r="H8" s="12">
        <f>E8+G8</f>
        <v/>
      </c>
      <c r="I8" s="12" t="n">
        <v>79730</v>
      </c>
      <c r="J8" s="14" t="n">
        <v>0.8565</v>
      </c>
      <c r="K8" s="14" t="n">
        <v>0.07056</v>
      </c>
      <c r="L8" s="12">
        <f>H8*K8*1.21</f>
        <v/>
      </c>
      <c r="M8" s="15" t="inlineStr">
        <is>
          <t>EN MORA: pagó $40.120 de $79.730. Devenga punitorios</t>
        </is>
      </c>
    </row>
    <row r="9">
      <c r="A9" s="6" t="inlineStr">
        <is>
          <t>Santander</t>
        </is>
      </c>
      <c r="B9" s="6" t="inlineStr">
        <is>
          <t>VISA</t>
        </is>
      </c>
      <c r="C9" s="6" t="inlineStr">
        <is>
          <t>11/06/2026</t>
        </is>
      </c>
      <c r="D9" s="6" t="inlineStr">
        <is>
          <t>19/06/2026</t>
        </is>
      </c>
      <c r="E9" s="7" t="n">
        <v>1162056.37</v>
      </c>
      <c r="F9" s="8" t="n">
        <v>31.97</v>
      </c>
      <c r="G9" s="7">
        <f>F9*$D$4</f>
        <v/>
      </c>
      <c r="H9" s="7">
        <f>E9+G9</f>
        <v/>
      </c>
      <c r="I9" s="7" t="n">
        <v>103190</v>
      </c>
      <c r="J9" s="9" t="n">
        <v>0.825</v>
      </c>
      <c r="K9" s="9" t="n">
        <v>0.06781</v>
      </c>
      <c r="L9" s="7">
        <f>H9*K9*1.21</f>
        <v/>
      </c>
      <c r="M9" s="10" t="inlineStr">
        <is>
          <t>Al día. Saldo financiado chico ($69.452)</t>
        </is>
      </c>
    </row>
    <row r="10">
      <c r="A10" s="6" t="inlineStr">
        <is>
          <t>Santander</t>
        </is>
      </c>
      <c r="B10" s="6" t="inlineStr">
        <is>
          <t>AMEX</t>
        </is>
      </c>
      <c r="C10" s="6" t="inlineStr">
        <is>
          <t>11/06/2026</t>
        </is>
      </c>
      <c r="D10" s="6" t="inlineStr">
        <is>
          <t>19/06/2026</t>
        </is>
      </c>
      <c r="E10" s="7" t="n">
        <v>194872.69</v>
      </c>
      <c r="F10" s="8" t="n">
        <v>0</v>
      </c>
      <c r="G10" s="7">
        <f>F10*$D$4</f>
        <v/>
      </c>
      <c r="H10" s="7">
        <f>E10+G10</f>
        <v/>
      </c>
      <c r="I10" s="7" t="n">
        <v>7790</v>
      </c>
      <c r="J10" s="9" t="n">
        <v>0.825</v>
      </c>
      <c r="K10" s="9" t="n">
        <v>0.06781</v>
      </c>
      <c r="L10" s="7">
        <f>H10*K10*1.21</f>
        <v/>
      </c>
      <c r="M10" s="10" t="inlineStr">
        <is>
          <t>Al día. Es sólo el débito de Medicus</t>
        </is>
      </c>
    </row>
    <row r="11">
      <c r="A11" s="6" t="inlineStr">
        <is>
          <t>BBVA</t>
        </is>
      </c>
      <c r="B11" s="6" t="inlineStr">
        <is>
          <t>VISA Gold</t>
        </is>
      </c>
      <c r="C11" s="6" t="inlineStr">
        <is>
          <t>21/05/2026</t>
        </is>
      </c>
      <c r="D11" s="6" t="inlineStr">
        <is>
          <t>03/06/2026</t>
        </is>
      </c>
      <c r="E11" s="7" t="n">
        <v>134400.6</v>
      </c>
      <c r="F11" s="8" t="n">
        <v>0</v>
      </c>
      <c r="G11" s="7">
        <f>F11*$D$4</f>
        <v/>
      </c>
      <c r="H11" s="7">
        <f>E11+G11</f>
        <v/>
      </c>
      <c r="I11" s="7" t="n">
        <v>19420</v>
      </c>
      <c r="J11" s="9" t="n">
        <v>0.7235</v>
      </c>
      <c r="K11" s="9" t="n">
        <v>0.05947</v>
      </c>
      <c r="L11" s="7">
        <f>H11*K11*1.21</f>
        <v/>
      </c>
      <c r="M11" s="10" t="inlineStr">
        <is>
          <t>Al día. Débito automático en caja de ahorro</t>
        </is>
      </c>
    </row>
    <row r="12">
      <c r="A12" s="16" t="inlineStr">
        <is>
          <t>TOTAL</t>
        </is>
      </c>
      <c r="B12" s="17" t="n"/>
      <c r="C12" s="17" t="n"/>
      <c r="D12" s="17" t="n"/>
      <c r="E12" s="18">
        <f>SUM(E7:E11)</f>
        <v/>
      </c>
      <c r="F12" s="19">
        <f>SUM(F7:F11)</f>
        <v/>
      </c>
      <c r="G12" s="18">
        <f>SUM(G7:G11)</f>
        <v/>
      </c>
      <c r="H12" s="18">
        <f>SUM(H7:H11)</f>
        <v/>
      </c>
      <c r="I12" s="18">
        <f>SUM(I7:I11)</f>
        <v/>
      </c>
      <c r="J12" s="17" t="n"/>
      <c r="K12" s="17" t="n"/>
      <c r="L12" s="18">
        <f>SUM(L7:L11)</f>
        <v/>
      </c>
      <c r="M12" s="17" t="n"/>
    </row>
    <row r="15">
      <c r="A15" s="1" t="inlineStr">
        <is>
          <t>Lo que realmente está financiado (devengando interés)</t>
        </is>
      </c>
    </row>
    <row r="16" ht="30" customHeight="1">
      <c r="A16" s="5" t="inlineStr">
        <is>
          <t>Tarjeta</t>
        </is>
      </c>
      <c r="B16" s="5" t="inlineStr">
        <is>
          <t>Saldo financiado $</t>
        </is>
      </c>
      <c r="C16" s="5" t="inlineStr">
        <is>
          <t>TEM</t>
        </is>
      </c>
      <c r="D16" s="5" t="inlineStr">
        <is>
          <t>Interés + IVA por mes</t>
        </is>
      </c>
      <c r="E16" s="5" t="inlineStr">
        <is>
          <t>Comentario</t>
        </is>
      </c>
    </row>
    <row r="17">
      <c r="A17" s="6" t="inlineStr">
        <is>
          <t>Galicia Mastercard</t>
        </is>
      </c>
      <c r="B17" s="7" t="n">
        <v>651462.63</v>
      </c>
      <c r="C17" s="9" t="n">
        <v>0.07056</v>
      </c>
      <c r="D17" s="7">
        <f>B17*C17*1.21</f>
        <v/>
      </c>
      <c r="E17" s="10" t="inlineStr">
        <is>
          <t>Saldo total impago. Además paga punitorios (TNA 85,65% adicional sobre el mínimo no abonado).</t>
        </is>
      </c>
    </row>
    <row r="18">
      <c r="A18" s="6" t="inlineStr">
        <is>
          <t>Santander VISA</t>
        </is>
      </c>
      <c r="B18" s="7" t="n">
        <v>69452.03</v>
      </c>
      <c r="C18" s="9" t="n">
        <v>0.06781</v>
      </c>
      <c r="D18" s="7">
        <f>B18*C18*1.21</f>
        <v/>
      </c>
      <c r="E18" s="10" t="inlineStr">
        <is>
          <t>Dato del propio resumen de junio: 'Su saldo financiado: $69.452,03'.</t>
        </is>
      </c>
    </row>
    <row r="19">
      <c r="A19" s="6" t="inlineStr">
        <is>
          <t>BBVA VISA</t>
        </is>
      </c>
      <c r="B19" s="7" t="n">
        <v>114980.6</v>
      </c>
      <c r="C19" s="9" t="n">
        <v>0.05947</v>
      </c>
      <c r="D19" s="7">
        <f>B19*C19*1.21</f>
        <v/>
      </c>
      <c r="E19" s="10" t="inlineStr">
        <is>
          <t>Saldo financiable informado en el resumen de mayo.</t>
        </is>
      </c>
    </row>
    <row r="20">
      <c r="A20" s="3" t="inlineStr">
        <is>
          <t>TOTAL financiado</t>
        </is>
      </c>
      <c r="B20" s="18">
        <f>SUM(B17:B19)</f>
        <v/>
      </c>
      <c r="D20" s="18">
        <f>SUM(D17:D19)</f>
        <v/>
      </c>
      <c r="E20" s="2" t="inlineStr">
        <is>
          <t>El resto del saldo de las tarjetas es consumo del mes, no deuda vieja.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3" customWidth="1" min="4" max="4"/>
    <col width="15" customWidth="1" min="5" max="5"/>
    <col width="12" customWidth="1" min="6" max="6"/>
    <col width="15" customWidth="1" min="7" max="7"/>
    <col width="18" customWidth="1" min="8" max="8"/>
    <col width="22" customWidth="1" min="9" max="9"/>
  </cols>
  <sheetData>
    <row r="1">
      <c r="A1" s="1" t="inlineStr">
        <is>
          <t>Saldo, pago mínimo e intereses mes a mes (enero–junio 2026)</t>
        </is>
      </c>
    </row>
    <row r="2">
      <c r="A2" s="2" t="inlineStr">
        <is>
          <t>Un renglón por resumen. 'Interés' es el cargo de intereses de financiación antes de IVA, tal como figura en el PDF.</t>
        </is>
      </c>
    </row>
    <row r="4" ht="30" customHeight="1">
      <c r="A4" s="5" t="inlineStr">
        <is>
          <t>Banco / Tarjeta</t>
        </is>
      </c>
      <c r="B4" s="5" t="inlineStr">
        <is>
          <t>Mes</t>
        </is>
      </c>
      <c r="C4" s="5" t="inlineStr">
        <is>
          <t>Cierre</t>
        </is>
      </c>
      <c r="D4" s="5" t="inlineStr">
        <is>
          <t>Vencimiento</t>
        </is>
      </c>
      <c r="E4" s="5" t="inlineStr">
        <is>
          <t>Saldo $</t>
        </is>
      </c>
      <c r="F4" s="5" t="inlineStr">
        <is>
          <t>Saldo U$S</t>
        </is>
      </c>
      <c r="G4" s="5" t="inlineStr">
        <is>
          <t>Pago mínimo $</t>
        </is>
      </c>
      <c r="H4" s="5" t="inlineStr">
        <is>
          <t>Intereses $ (s/IVA)</t>
        </is>
      </c>
      <c r="I4" s="5" t="inlineStr">
        <is>
          <t>Percepción RG 5617 neta $</t>
        </is>
      </c>
    </row>
    <row r="5">
      <c r="A5" s="6" t="inlineStr">
        <is>
          <t>Galicia VISA</t>
        </is>
      </c>
      <c r="B5" s="6" t="inlineStr">
        <is>
          <t>Ene-26</t>
        </is>
      </c>
      <c r="C5" s="6" t="inlineStr">
        <is>
          <t>29/01/2026</t>
        </is>
      </c>
      <c r="D5" s="6" t="inlineStr">
        <is>
          <t>06/02/2026</t>
        </is>
      </c>
      <c r="E5" s="7" t="n">
        <v>2489603.61</v>
      </c>
      <c r="F5" s="8" t="n">
        <v>128.68</v>
      </c>
      <c r="G5" s="7" t="n">
        <v>260630</v>
      </c>
      <c r="H5" s="7" t="n">
        <v>129.88</v>
      </c>
      <c r="I5" s="7" t="n">
        <v>16278.94</v>
      </c>
    </row>
    <row r="6">
      <c r="A6" s="6" t="inlineStr">
        <is>
          <t>Galicia VISA</t>
        </is>
      </c>
      <c r="B6" s="6" t="inlineStr">
        <is>
          <t>Feb-26</t>
        </is>
      </c>
      <c r="C6" s="6" t="inlineStr">
        <is>
          <t>26/02/2026</t>
        </is>
      </c>
      <c r="D6" s="6" t="inlineStr">
        <is>
          <t>06/03/2026</t>
        </is>
      </c>
      <c r="E6" s="7" t="n">
        <v>2705157.33</v>
      </c>
      <c r="F6" s="8" t="n">
        <v>256.38</v>
      </c>
      <c r="G6" s="7" t="n">
        <v>355350</v>
      </c>
      <c r="H6" s="7" t="n">
        <v>29744.05</v>
      </c>
      <c r="I6" s="7" t="n">
        <v>106205.08</v>
      </c>
    </row>
    <row r="7">
      <c r="A7" s="6" t="inlineStr">
        <is>
          <t>Galicia VISA</t>
        </is>
      </c>
      <c r="B7" s="6" t="inlineStr">
        <is>
          <t>Mar-26</t>
        </is>
      </c>
      <c r="C7" s="6" t="inlineStr">
        <is>
          <t>26/03/2026</t>
        </is>
      </c>
      <c r="D7" s="6" t="inlineStr">
        <is>
          <t>06/04/2026</t>
        </is>
      </c>
      <c r="E7" s="7" t="n">
        <v>3594025.18</v>
      </c>
      <c r="F7" s="8" t="n">
        <v>253.67</v>
      </c>
      <c r="G7" s="7" t="n">
        <v>401500</v>
      </c>
      <c r="H7" s="7" t="n">
        <v>38859.46</v>
      </c>
      <c r="I7" s="7" t="n">
        <v>-2747.949999999997</v>
      </c>
    </row>
    <row r="8">
      <c r="A8" s="6" t="inlineStr">
        <is>
          <t>Galicia VISA</t>
        </is>
      </c>
      <c r="B8" s="6" t="inlineStr">
        <is>
          <t>Abr-26</t>
        </is>
      </c>
      <c r="C8" s="6" t="inlineStr">
        <is>
          <t>16/04/2026</t>
        </is>
      </c>
      <c r="D8" s="6" t="inlineStr">
        <is>
          <t>24/04/2026</t>
        </is>
      </c>
      <c r="E8" s="7" t="n">
        <v>1616279.98</v>
      </c>
      <c r="F8" s="8" t="n">
        <v>4.03</v>
      </c>
      <c r="G8" s="7" t="n">
        <v>36770</v>
      </c>
      <c r="H8" s="7" t="n">
        <v>0</v>
      </c>
      <c r="I8" s="7" t="n">
        <v>-101814.1</v>
      </c>
    </row>
    <row r="9">
      <c r="A9" s="6" t="inlineStr">
        <is>
          <t>Galicia VISA</t>
        </is>
      </c>
      <c r="B9" s="6" t="inlineStr">
        <is>
          <t>May-26</t>
        </is>
      </c>
      <c r="C9" s="6" t="inlineStr">
        <is>
          <t>14/05/2026</t>
        </is>
      </c>
      <c r="D9" s="6" t="inlineStr">
        <is>
          <t>22/05/2026</t>
        </is>
      </c>
      <c r="E9" s="7" t="n">
        <v>3479475.05</v>
      </c>
      <c r="F9" s="8" t="n">
        <v>207</v>
      </c>
      <c r="G9" s="7" t="n">
        <v>319070</v>
      </c>
      <c r="H9" s="7" t="n">
        <v>29514.11</v>
      </c>
      <c r="I9" s="7" t="n">
        <v>84800.17</v>
      </c>
    </row>
    <row r="10">
      <c r="A10" s="6" t="inlineStr">
        <is>
          <t>Galicia VISA</t>
        </is>
      </c>
      <c r="B10" s="6" t="inlineStr">
        <is>
          <t>Jun-26</t>
        </is>
      </c>
      <c r="C10" s="6" t="inlineStr">
        <is>
          <t>18/06/2026</t>
        </is>
      </c>
      <c r="D10" s="6" t="inlineStr">
        <is>
          <t>26/06/2026</t>
        </is>
      </c>
      <c r="E10" s="7" t="n">
        <v>3016370.5</v>
      </c>
      <c r="F10" s="8" t="n">
        <v>292.72</v>
      </c>
      <c r="G10" s="7" t="n">
        <v>371680</v>
      </c>
      <c r="H10" s="7" t="n">
        <v>24589.49</v>
      </c>
      <c r="I10" s="7" t="n">
        <v>126586.76</v>
      </c>
    </row>
    <row r="11">
      <c r="A11" s="20" t="inlineStr">
        <is>
          <t>Galicia Mastercard</t>
        </is>
      </c>
      <c r="B11" s="20" t="inlineStr">
        <is>
          <t>Feb-26</t>
        </is>
      </c>
      <c r="C11" s="20" t="inlineStr">
        <is>
          <t>28/02/2026</t>
        </is>
      </c>
      <c r="D11" s="20" t="inlineStr">
        <is>
          <t>06/03/2026</t>
        </is>
      </c>
      <c r="E11" s="21" t="n">
        <v>904827.03</v>
      </c>
      <c r="F11" s="22" t="n">
        <v>721.96</v>
      </c>
      <c r="G11" s="21" t="n">
        <v>0</v>
      </c>
      <c r="H11" s="21" t="n">
        <v>0</v>
      </c>
      <c r="I11" s="21" t="n">
        <v>904827.03</v>
      </c>
    </row>
    <row r="12">
      <c r="A12" s="6" t="inlineStr">
        <is>
          <t>Galicia Mastercard</t>
        </is>
      </c>
      <c r="B12" s="6" t="inlineStr">
        <is>
          <t>Mar-26</t>
        </is>
      </c>
      <c r="C12" s="6" t="inlineStr">
        <is>
          <t>28/03/2026</t>
        </is>
      </c>
      <c r="D12" s="6" t="inlineStr">
        <is>
          <t>06/04/2026</t>
        </is>
      </c>
      <c r="E12" s="7" t="n">
        <v>656122.62</v>
      </c>
      <c r="F12" s="8" t="n">
        <v>0</v>
      </c>
      <c r="G12" s="7" t="n">
        <v>84390</v>
      </c>
      <c r="H12" s="7" t="n">
        <v>44877.83</v>
      </c>
      <c r="I12" s="7" t="n">
        <v>-303006.58</v>
      </c>
    </row>
    <row r="13">
      <c r="A13" s="6" t="inlineStr">
        <is>
          <t>Galicia Mastercard</t>
        </is>
      </c>
      <c r="B13" s="6" t="inlineStr">
        <is>
          <t>Abr-26</t>
        </is>
      </c>
      <c r="C13" s="6" t="inlineStr">
        <is>
          <t>30/04/2026</t>
        </is>
      </c>
      <c r="D13" s="6" t="inlineStr">
        <is>
          <t>08/05/2026</t>
        </is>
      </c>
      <c r="E13" s="7" t="n">
        <v>641940</v>
      </c>
      <c r="F13" s="8" t="n">
        <v>0</v>
      </c>
      <c r="G13" s="7" t="n">
        <v>23140</v>
      </c>
      <c r="H13" s="7" t="n">
        <v>-44877.83</v>
      </c>
      <c r="I13" s="7" t="n">
        <v>-601820.45</v>
      </c>
    </row>
    <row r="14">
      <c r="A14" s="6" t="inlineStr">
        <is>
          <t>Galicia Mastercard</t>
        </is>
      </c>
      <c r="B14" s="6" t="inlineStr">
        <is>
          <t>May-26</t>
        </is>
      </c>
      <c r="C14" s="6" t="inlineStr">
        <is>
          <t>28/05/2026</t>
        </is>
      </c>
      <c r="D14" s="6" t="inlineStr">
        <is>
          <t>05/06/2026</t>
        </is>
      </c>
      <c r="E14" s="7" t="n">
        <v>651462.63</v>
      </c>
      <c r="F14" s="8" t="n">
        <v>0</v>
      </c>
      <c r="G14" s="7" t="n">
        <v>79730</v>
      </c>
      <c r="H14" s="7" t="n">
        <v>41026.96</v>
      </c>
      <c r="I14" s="7" t="n">
        <v>0</v>
      </c>
    </row>
    <row r="15">
      <c r="A15" s="20" t="inlineStr">
        <is>
          <t>Santander VISA</t>
        </is>
      </c>
      <c r="B15" s="20" t="inlineStr">
        <is>
          <t>Ene-26</t>
        </is>
      </c>
      <c r="C15" s="20" t="inlineStr">
        <is>
          <t>08/01/2026</t>
        </is>
      </c>
      <c r="D15" s="20" t="inlineStr">
        <is>
          <t>16/01/2026</t>
        </is>
      </c>
      <c r="E15" s="21" t="n">
        <v>1706669.74</v>
      </c>
      <c r="F15" s="22" t="n">
        <v>2375.58</v>
      </c>
      <c r="G15" s="21" t="n">
        <v>1229480</v>
      </c>
      <c r="H15" s="21" t="n">
        <v>4706.56</v>
      </c>
      <c r="I15" s="21" t="n">
        <v>1040504.04</v>
      </c>
    </row>
    <row r="16">
      <c r="A16" s="6" t="inlineStr">
        <is>
          <t>Santander VISA</t>
        </is>
      </c>
      <c r="B16" s="6" t="inlineStr">
        <is>
          <t>Feb-26</t>
        </is>
      </c>
      <c r="C16" s="6" t="inlineStr">
        <is>
          <t>05/02/2026</t>
        </is>
      </c>
      <c r="D16" s="6" t="inlineStr">
        <is>
          <t>13/02/2026</t>
        </is>
      </c>
      <c r="E16" s="7" t="n">
        <v>1075578.74</v>
      </c>
      <c r="F16" s="8" t="n">
        <v>1521.55</v>
      </c>
      <c r="G16" s="7" t="n">
        <v>780750</v>
      </c>
      <c r="H16" s="7" t="n">
        <v>656.41</v>
      </c>
      <c r="I16" s="7" t="n">
        <v>660733.08</v>
      </c>
    </row>
    <row r="17">
      <c r="A17" s="6" t="inlineStr">
        <is>
          <t>Santander VISA</t>
        </is>
      </c>
      <c r="B17" s="6" t="inlineStr">
        <is>
          <t>Mar-26</t>
        </is>
      </c>
      <c r="C17" s="6" t="inlineStr">
        <is>
          <t>05/03/2026</t>
        </is>
      </c>
      <c r="D17" s="6" t="inlineStr">
        <is>
          <t>13/03/2026</t>
        </is>
      </c>
      <c r="E17" s="7" t="n">
        <v>1604485.63</v>
      </c>
      <c r="F17" s="8" t="n">
        <v>36.99</v>
      </c>
      <c r="G17" s="7" t="n">
        <v>95640</v>
      </c>
      <c r="H17" s="7" t="n">
        <v>830.1799999999999</v>
      </c>
      <c r="I17" s="7" t="n">
        <v>15541.34</v>
      </c>
    </row>
    <row r="18">
      <c r="A18" s="6" t="inlineStr">
        <is>
          <t>Santander VISA</t>
        </is>
      </c>
      <c r="B18" s="6" t="inlineStr">
        <is>
          <t>Abr-26</t>
        </is>
      </c>
      <c r="C18" s="6" t="inlineStr">
        <is>
          <t>09/04/2026</t>
        </is>
      </c>
      <c r="D18" s="6" t="inlineStr">
        <is>
          <t>17/04/2026</t>
        </is>
      </c>
      <c r="E18" s="7" t="n">
        <v>3226616.99</v>
      </c>
      <c r="F18" s="8" t="n">
        <v>256.92</v>
      </c>
      <c r="G18" s="7" t="n">
        <v>247740</v>
      </c>
      <c r="H18" s="7" t="n">
        <v>3469.44</v>
      </c>
      <c r="I18" s="7" t="n">
        <v>106942.95</v>
      </c>
    </row>
    <row r="19">
      <c r="A19" s="6" t="inlineStr">
        <is>
          <t>Santander VISA</t>
        </is>
      </c>
      <c r="B19" s="6" t="inlineStr">
        <is>
          <t>May-26</t>
        </is>
      </c>
      <c r="C19" s="6" t="inlineStr">
        <is>
          <t>07/05/2026</t>
        </is>
      </c>
      <c r="D19" s="6" t="inlineStr">
        <is>
          <t>15/05/2026</t>
        </is>
      </c>
      <c r="E19" s="7" t="n">
        <v>1348652.83</v>
      </c>
      <c r="F19" s="8" t="n">
        <v>52.01</v>
      </c>
      <c r="G19" s="7" t="n">
        <v>0</v>
      </c>
      <c r="H19" s="7" t="n">
        <v>63700.6</v>
      </c>
      <c r="I19" s="7" t="n">
        <v>21656.96</v>
      </c>
    </row>
    <row r="20">
      <c r="A20" s="6" t="inlineStr">
        <is>
          <t>Santander VISA</t>
        </is>
      </c>
      <c r="B20" s="6" t="inlineStr">
        <is>
          <t>Jun-26</t>
        </is>
      </c>
      <c r="C20" s="6" t="inlineStr">
        <is>
          <t>11/06/2026</t>
        </is>
      </c>
      <c r="D20" s="6" t="inlineStr">
        <is>
          <t>19/06/2026</t>
        </is>
      </c>
      <c r="E20" s="7" t="n">
        <v>1162056.37</v>
      </c>
      <c r="F20" s="8" t="n">
        <v>31.97</v>
      </c>
      <c r="G20" s="7" t="n">
        <v>103190</v>
      </c>
      <c r="H20" s="7" t="n">
        <v>28488.89</v>
      </c>
      <c r="I20" s="7" t="n">
        <v>13739.1</v>
      </c>
    </row>
    <row r="21">
      <c r="A21" s="20" t="inlineStr">
        <is>
          <t>Santander AMEX</t>
        </is>
      </c>
      <c r="B21" s="20" t="inlineStr">
        <is>
          <t>Ene-26</t>
        </is>
      </c>
      <c r="C21" s="20" t="inlineStr">
        <is>
          <t>08/01/2026</t>
        </is>
      </c>
      <c r="D21" s="20" t="inlineStr">
        <is>
          <t>16/01/2026</t>
        </is>
      </c>
      <c r="E21" s="21" t="n">
        <v>64035.98</v>
      </c>
      <c r="F21" s="22" t="n">
        <v>0</v>
      </c>
      <c r="G21" s="21" t="n">
        <v>2560</v>
      </c>
      <c r="H21" s="21" t="n">
        <v>0</v>
      </c>
      <c r="I21" s="21" t="n">
        <v>0</v>
      </c>
    </row>
    <row r="22">
      <c r="A22" s="6" t="inlineStr">
        <is>
          <t>Santander AMEX</t>
        </is>
      </c>
      <c r="B22" s="6" t="inlineStr">
        <is>
          <t>Feb-26</t>
        </is>
      </c>
      <c r="C22" s="6" t="inlineStr">
        <is>
          <t>05/02/2026</t>
        </is>
      </c>
      <c r="D22" s="6" t="inlineStr">
        <is>
          <t>13/02/2026</t>
        </is>
      </c>
      <c r="E22" s="7" t="n">
        <v>69289.12</v>
      </c>
      <c r="F22" s="8" t="n">
        <v>0</v>
      </c>
      <c r="G22" s="7" t="n">
        <v>2770</v>
      </c>
      <c r="H22" s="7" t="n">
        <v>0</v>
      </c>
      <c r="I22" s="7" t="n">
        <v>0</v>
      </c>
    </row>
    <row r="23">
      <c r="A23" s="6" t="inlineStr">
        <is>
          <t>Santander AMEX</t>
        </is>
      </c>
      <c r="B23" s="6" t="inlineStr">
        <is>
          <t>Mar-26</t>
        </is>
      </c>
      <c r="C23" s="6" t="inlineStr">
        <is>
          <t>05/03/2026</t>
        </is>
      </c>
      <c r="D23" s="6" t="inlineStr">
        <is>
          <t>13/03/2026</t>
        </is>
      </c>
      <c r="E23" s="7" t="n">
        <v>0</v>
      </c>
      <c r="F23" s="8" t="n">
        <v>0</v>
      </c>
      <c r="G23" s="7" t="n">
        <v>0</v>
      </c>
      <c r="H23" s="7" t="n">
        <v>0</v>
      </c>
      <c r="I23" s="7" t="n">
        <v>0</v>
      </c>
    </row>
    <row r="24">
      <c r="A24" s="6" t="inlineStr">
        <is>
          <t>Santander AMEX</t>
        </is>
      </c>
      <c r="B24" s="6" t="inlineStr">
        <is>
          <t>Abr-26</t>
        </is>
      </c>
      <c r="C24" s="6" t="inlineStr">
        <is>
          <t>09/04/2026</t>
        </is>
      </c>
      <c r="D24" s="6" t="inlineStr">
        <is>
          <t>17/04/2026</t>
        </is>
      </c>
      <c r="E24" s="7" t="n">
        <v>86164.05</v>
      </c>
      <c r="F24" s="8" t="n">
        <v>0</v>
      </c>
      <c r="G24" s="7" t="n">
        <v>3440</v>
      </c>
      <c r="H24" s="7" t="n">
        <v>0</v>
      </c>
      <c r="I24" s="7" t="n">
        <v>0</v>
      </c>
    </row>
    <row r="25">
      <c r="A25" s="6" t="inlineStr">
        <is>
          <t>Santander AMEX</t>
        </is>
      </c>
      <c r="B25" s="6" t="inlineStr">
        <is>
          <t>May-26</t>
        </is>
      </c>
      <c r="C25" s="6" t="inlineStr">
        <is>
          <t>07/05/2026</t>
        </is>
      </c>
      <c r="D25" s="6" t="inlineStr">
        <is>
          <t>15/05/2026</t>
        </is>
      </c>
      <c r="E25" s="7" t="n">
        <v>87469.5</v>
      </c>
      <c r="F25" s="8" t="n">
        <v>0</v>
      </c>
      <c r="G25" s="7" t="n">
        <v>4170</v>
      </c>
      <c r="H25" s="7" t="n">
        <v>579.3099999999999</v>
      </c>
      <c r="I25" s="7" t="n">
        <v>0</v>
      </c>
    </row>
    <row r="26">
      <c r="A26" s="6" t="inlineStr">
        <is>
          <t>Santander AMEX</t>
        </is>
      </c>
      <c r="B26" s="6" t="inlineStr">
        <is>
          <t>Jun-26</t>
        </is>
      </c>
      <c r="C26" s="6" t="inlineStr">
        <is>
          <t>11/06/2026</t>
        </is>
      </c>
      <c r="D26" s="6" t="inlineStr">
        <is>
          <t>19/06/2026</t>
        </is>
      </c>
      <c r="E26" s="7" t="n">
        <v>194872.69</v>
      </c>
      <c r="F26" s="8" t="n">
        <v>0</v>
      </c>
      <c r="G26" s="7" t="n">
        <v>7790</v>
      </c>
      <c r="H26" s="7" t="n">
        <v>0</v>
      </c>
      <c r="I26" s="7" t="n">
        <v>0</v>
      </c>
    </row>
    <row r="27">
      <c r="A27" s="20" t="inlineStr">
        <is>
          <t>BBVA VISA</t>
        </is>
      </c>
      <c r="B27" s="20" t="inlineStr">
        <is>
          <t>Ene-26</t>
        </is>
      </c>
      <c r="C27" s="20" t="inlineStr">
        <is>
          <t>22/01/2026</t>
        </is>
      </c>
      <c r="D27" s="20" t="inlineStr">
        <is>
          <t>02/02/2026</t>
        </is>
      </c>
      <c r="E27" s="21" t="n">
        <v>3123072.63</v>
      </c>
      <c r="F27" s="22" t="n">
        <v>0</v>
      </c>
      <c r="G27" s="21" t="n">
        <v>214680</v>
      </c>
      <c r="H27" s="21" t="n">
        <v>12572.13</v>
      </c>
      <c r="I27" s="21" t="n">
        <v>0</v>
      </c>
    </row>
    <row r="28">
      <c r="A28" s="6" t="inlineStr">
        <is>
          <t>BBVA VISA</t>
        </is>
      </c>
      <c r="B28" s="6" t="inlineStr">
        <is>
          <t>Feb-26</t>
        </is>
      </c>
      <c r="C28" s="6" t="inlineStr">
        <is>
          <t>19/02/2026</t>
        </is>
      </c>
      <c r="D28" s="6" t="inlineStr">
        <is>
          <t>02/03/2026</t>
        </is>
      </c>
      <c r="E28" s="7" t="n">
        <v>3988363.5</v>
      </c>
      <c r="F28" s="8" t="n">
        <v>0</v>
      </c>
      <c r="G28" s="7" t="n">
        <v>200740</v>
      </c>
      <c r="H28" s="7" t="n">
        <v>0</v>
      </c>
      <c r="I28" s="7" t="n">
        <v>0</v>
      </c>
    </row>
    <row r="29">
      <c r="A29" s="6" t="inlineStr">
        <is>
          <t>BBVA VISA</t>
        </is>
      </c>
      <c r="B29" s="6" t="inlineStr">
        <is>
          <t>Mar-26</t>
        </is>
      </c>
      <c r="C29" s="6" t="inlineStr">
        <is>
          <t>19/03/2026</t>
        </is>
      </c>
      <c r="D29" s="6" t="inlineStr">
        <is>
          <t>01/04/2026</t>
        </is>
      </c>
      <c r="E29" s="7" t="n">
        <v>323763.8</v>
      </c>
      <c r="F29" s="8" t="n">
        <v>0</v>
      </c>
      <c r="G29" s="7" t="n">
        <v>17510</v>
      </c>
      <c r="H29" s="7" t="n">
        <v>0</v>
      </c>
      <c r="I29" s="7" t="n">
        <v>0</v>
      </c>
    </row>
    <row r="30">
      <c r="A30" s="6" t="inlineStr">
        <is>
          <t>BBVA VISA</t>
        </is>
      </c>
      <c r="B30" s="6" t="inlineStr">
        <is>
          <t>Abr-26</t>
        </is>
      </c>
      <c r="C30" s="6" t="inlineStr">
        <is>
          <t>23/04/2026</t>
        </is>
      </c>
      <c r="D30" s="6" t="inlineStr">
        <is>
          <t>04/05/2026</t>
        </is>
      </c>
      <c r="E30" s="7" t="n">
        <v>748645.97</v>
      </c>
      <c r="F30" s="8" t="n">
        <v>9.42</v>
      </c>
      <c r="G30" s="7" t="n">
        <v>127290</v>
      </c>
      <c r="H30" s="7" t="n">
        <v>-966.9400000000001</v>
      </c>
      <c r="I30" s="7" t="n">
        <v>3894.22</v>
      </c>
    </row>
    <row r="31">
      <c r="A31" s="6" t="inlineStr">
        <is>
          <t>BBVA VISA</t>
        </is>
      </c>
      <c r="B31" s="6" t="inlineStr">
        <is>
          <t>May-26</t>
        </is>
      </c>
      <c r="C31" s="6" t="inlineStr">
        <is>
          <t>21/05/2026</t>
        </is>
      </c>
      <c r="D31" s="6" t="inlineStr">
        <is>
          <t>03/06/2026</t>
        </is>
      </c>
      <c r="E31" s="7" t="n">
        <v>134400.6</v>
      </c>
      <c r="F31" s="8" t="n">
        <v>0</v>
      </c>
      <c r="G31" s="7" t="n">
        <v>19420</v>
      </c>
      <c r="H31" s="7" t="n">
        <v>1372.89</v>
      </c>
      <c r="I31" s="7" t="n">
        <v>0</v>
      </c>
    </row>
    <row r="32">
      <c r="A32" s="23" t="inlineStr">
        <is>
          <t>TOTAL enero–junio 2026</t>
        </is>
      </c>
      <c r="B32" s="24" t="n"/>
      <c r="C32" s="24" t="n"/>
      <c r="D32" s="24" t="n"/>
      <c r="E32" s="24" t="n"/>
      <c r="F32" s="24" t="n"/>
      <c r="G32" s="24" t="n"/>
      <c r="H32" s="18">
        <f>SUM(H5:H31)</f>
        <v/>
      </c>
      <c r="I32" s="18">
        <f>SUM(I5:I31)</f>
        <v/>
      </c>
    </row>
    <row r="34">
      <c r="A34" s="2" t="inlineStr">
        <is>
          <t>La columna 'Percepción RG 5617' suma los débitos y resta las devoluciones del mismo resumen. Es el 30% a cuenta de Ganancias/Bienes Personales sobre consumos en moneda extranjera: es dinero recuperable, no un gasto.</t>
        </is>
      </c>
    </row>
  </sheetData>
  <mergeCells count="1">
    <mergeCell ref="A34:I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0" customWidth="1" min="4" max="4"/>
    <col width="70" customWidth="1" min="5" max="5"/>
  </cols>
  <sheetData>
    <row r="1">
      <c r="A1" s="1" t="inlineStr">
        <is>
          <t>En qué orden conviene pagar</t>
        </is>
      </c>
    </row>
    <row r="2">
      <c r="A2" s="2" t="inlineStr">
        <is>
          <t>Criterio: primero lo que devenga la tasa efectiva más alta (método avalancha). Con punitorios, la Mastercard de Galicia es la más cara aunque no sea la de mayor TNA nominal.</t>
        </is>
      </c>
    </row>
    <row r="4" ht="30" customHeight="1">
      <c r="A4" s="5" t="inlineStr">
        <is>
          <t>Prioridad</t>
        </is>
      </c>
      <c r="B4" s="5" t="inlineStr">
        <is>
          <t>Qué</t>
        </is>
      </c>
      <c r="C4" s="5" t="inlineStr">
        <is>
          <t>Monto $</t>
        </is>
      </c>
      <c r="D4" s="5" t="inlineStr">
        <is>
          <t>Por qué</t>
        </is>
      </c>
      <c r="E4" s="5" t="inlineStr">
        <is>
          <t>Qué pasa si no lo hacés este mes</t>
        </is>
      </c>
    </row>
    <row r="5" ht="62" customHeight="1">
      <c r="A5" s="25" t="n">
        <v>1</v>
      </c>
      <c r="B5" s="26" t="inlineStr">
        <is>
          <t>Galicia Mastercard — cancelar el total</t>
        </is>
      </c>
      <c r="C5" s="27" t="n">
        <v>651462.63</v>
      </c>
      <c r="D5" s="26" t="inlineStr">
        <is>
          <t>Es el único saldo realmente en mora. Devenga 7,056% mensual de financiación MÁS punitorios (otro 85,65% TNA sobre el mínimo impago). En mayo pagaste $40.120 y el saldo igual subió de $641.940 a $651.463.</t>
        </is>
      </c>
      <c r="E5" s="26" t="inlineStr">
        <is>
          <t>Sigue creciendo ~$55.000/mes y suma mora en el Veraz.</t>
        </is>
      </c>
    </row>
    <row r="6" ht="62" customHeight="1">
      <c r="A6" s="25" t="n">
        <v>2</v>
      </c>
      <c r="B6" s="26" t="inlineStr">
        <is>
          <t>Galicia Mastercard — si no podés el total, pagá al menos el mínimo completo</t>
        </is>
      </c>
      <c r="C6" s="27" t="n">
        <v>79730</v>
      </c>
      <c r="D6" s="26" t="inlineStr">
        <is>
          <t>Pagar el mínimo completo corta los punitorios, aunque sigan corriendo los compensatorios. Es la diferencia entre 'financiado' y 'en mora'.</t>
        </is>
      </c>
      <c r="E6" s="26" t="inlineStr">
        <is>
          <t>Se activa el interés punitorio, que es 100% de la tasa de financiación.</t>
        </is>
      </c>
    </row>
    <row r="7" ht="62" customHeight="1">
      <c r="A7" s="28" t="n">
        <v>3</v>
      </c>
      <c r="B7" s="29" t="inlineStr">
        <is>
          <t>Consumos en dólares: pagarlos EN DÓLARES antes del vencimiento</t>
        </is>
      </c>
      <c r="C7" s="30" t="n"/>
      <c r="D7" s="29" t="inlineStr">
        <is>
          <t>Los resúmenes de Santander lo dicen explícito: si pagás los consumos en dólares con dólares (desde el día siguiente al cierre y hasta las 19hs del vencimiento), no se aplica la percepción RG 5617 del 30%. En Galicia ya te pasó: te la debitan y te la devuelven al mes siguiente cuando pagás en USD.</t>
        </is>
      </c>
      <c r="E7" s="29" t="inlineStr">
        <is>
          <t>Cada dólar consumido te cuesta 30% más, y ese 30% queda inmovilizado hasta que lo reclames.</t>
        </is>
      </c>
    </row>
    <row r="8" ht="62" customHeight="1">
      <c r="A8" s="28" t="n">
        <v>4</v>
      </c>
      <c r="B8" s="29" t="inlineStr">
        <is>
          <t>Santander VISA — saldo financiado</t>
        </is>
      </c>
      <c r="C8" s="30" t="n">
        <v>69452.03</v>
      </c>
      <c r="D8" s="29" t="inlineStr">
        <is>
          <t>Monto chico a 6,781% mensual. Cancelarlo entero cuesta poco y limpia la tarjeta.</t>
        </is>
      </c>
      <c r="E8" s="29" t="inlineStr">
        <is>
          <t>~$5.700/mes de interés con IVA.</t>
        </is>
      </c>
    </row>
    <row r="9" ht="62" customHeight="1">
      <c r="A9" s="28" t="n">
        <v>5</v>
      </c>
      <c r="B9" s="29" t="inlineStr">
        <is>
          <t>BBVA VISA — saldo financiable</t>
        </is>
      </c>
      <c r="C9" s="30" t="n">
        <v>114980.6</v>
      </c>
      <c r="D9" s="29" t="inlineStr">
        <is>
          <t>La tasa más baja de todas (5,947% mensual). Va último por precio, pero el saldo es chico.</t>
        </is>
      </c>
      <c r="E9" s="29" t="inlineStr">
        <is>
          <t>~$8.300/mes de interés con IVA.</t>
        </is>
      </c>
    </row>
    <row r="10" ht="62" customHeight="1">
      <c r="A10" s="28" t="n">
        <v>6</v>
      </c>
      <c r="B10" s="29" t="inlineStr">
        <is>
          <t>Galicia VISA — seguir pagándola completa</t>
        </is>
      </c>
      <c r="C10" s="30" t="n">
        <v>3016370.5</v>
      </c>
      <c r="D10" s="29" t="inlineStr">
        <is>
          <t>NO la financies. El Plan V que ofrece el resumen son 3 cuotas de $1.010.900 sobre $2.644.690: $388.012 de interés en 3 meses (CFTEA 175,20%).</t>
        </is>
      </c>
      <c r="E10" s="29" t="inlineStr">
        <is>
          <t>Financiar esta tarjeta cuesta ~$262.000 el primer mes.</t>
        </is>
      </c>
    </row>
    <row r="13">
      <c r="A13" s="1" t="inlineStr">
        <is>
          <t>Ahorros estructurales (no son deuda, son plata que se va todos los meses)</t>
        </is>
      </c>
    </row>
    <row r="14" ht="30" customHeight="1">
      <c r="A14" s="5" t="inlineStr">
        <is>
          <t>Concepto</t>
        </is>
      </c>
      <c r="B14" s="5" t="inlineStr">
        <is>
          <t>Costo actual</t>
        </is>
      </c>
      <c r="C14" s="5" t="inlineStr">
        <is>
          <t>Frecuencia</t>
        </is>
      </c>
      <c r="D14" s="5" t="inlineStr">
        <is>
          <t>Ahorro anual estimado</t>
        </is>
      </c>
      <c r="E14" s="5" t="inlineStr">
        <is>
          <t>Qué hacer</t>
        </is>
      </c>
    </row>
    <row r="15" ht="52" customHeight="1">
      <c r="A15" s="29" t="inlineStr">
        <is>
          <t>Comisión CTA PGOLD — BBVA</t>
        </is>
      </c>
      <c r="B15" s="30" t="n">
        <v>40413.22</v>
      </c>
      <c r="C15" s="29" t="inlineStr">
        <is>
          <t>Mensual</t>
        </is>
      </c>
      <c r="D15" s="31">
        <f>B15*1.21*12</f>
        <v/>
      </c>
      <c r="E15" s="29" t="inlineStr">
        <is>
          <t>Son $48.900/mes con IVA por un paquete que usás casi sólo para viajes en DiDi (~$98.000/mes de consumo). Pedí bonificación o bajá de paquete.</t>
        </is>
      </c>
    </row>
    <row r="16" ht="52" customHeight="1">
      <c r="A16" s="29" t="inlineStr">
        <is>
          <t>Renovación anual VISA Gold — Galicia</t>
        </is>
      </c>
      <c r="B16" s="30" t="n">
        <v>361800</v>
      </c>
      <c r="C16" s="29" t="inlineStr">
        <is>
          <t>Anual</t>
        </is>
      </c>
      <c r="D16" s="31">
        <f>B16</f>
        <v/>
      </c>
      <c r="E16" s="29" t="inlineStr">
        <is>
          <t>Figura en el resumen de junio como comisión vigente desde mayo 2026. Pedí bonificación por antigüedad/consumo antes de que la debiten.</t>
        </is>
      </c>
    </row>
    <row r="17" ht="52" customHeight="1">
      <c r="A17" s="29" t="inlineStr">
        <is>
          <t>Percepción RG 5617 pagada ene–jun</t>
        </is>
      </c>
      <c r="B17" s="30" t="n">
        <v>2092319.86</v>
      </c>
      <c r="C17" s="29" t="inlineStr">
        <is>
          <t>Acumulado 6 meses</t>
        </is>
      </c>
      <c r="D17" s="31">
        <f>B17</f>
        <v/>
      </c>
      <c r="E17" s="29" t="inlineStr">
        <is>
          <t>Recuperable. Si no estás inscripta en Ganancias, se pide devolución en AFIP con el F.746 (Mis Aplicaciones Web). Si estás inscripta, se computa como pago a cuenta. Confirmalo con tu contador.</t>
        </is>
      </c>
    </row>
    <row r="18">
      <c r="A18" s="3" t="inlineStr">
        <is>
          <t>TOTAL recuperable / ahorrable</t>
        </is>
      </c>
      <c r="D18" s="18">
        <f>SUM(D15:D17)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s="1" t="inlineStr">
        <is>
          <t>Cuotas ya comprometidas (informadas en los resúmenes de junio 2026)</t>
        </is>
      </c>
    </row>
    <row r="2">
      <c r="A2" s="2" t="inlineStr">
        <is>
          <t>Esto ya está gastado: son los planes en cuotas que van a aparecer sí o sí en los próximos resúmenes.</t>
        </is>
      </c>
    </row>
    <row r="4" ht="30" customHeight="1">
      <c r="A4" s="5" t="inlineStr">
        <is>
          <t>Tarjeta</t>
        </is>
      </c>
      <c r="B4" s="5" t="inlineStr">
        <is>
          <t>Julio-26</t>
        </is>
      </c>
      <c r="C4" s="5" t="inlineStr">
        <is>
          <t>Agosto-26</t>
        </is>
      </c>
      <c r="D4" s="5" t="inlineStr">
        <is>
          <t>Septiembre-26</t>
        </is>
      </c>
      <c r="E4" s="5" t="inlineStr">
        <is>
          <t>Octubre-26</t>
        </is>
      </c>
      <c r="F4" s="5" t="inlineStr">
        <is>
          <t>Noviembre-26</t>
        </is>
      </c>
      <c r="G4" s="5" t="inlineStr">
        <is>
          <t>Diciembre-26</t>
        </is>
      </c>
      <c r="H4" s="5" t="inlineStr">
        <is>
          <t>Total</t>
        </is>
      </c>
    </row>
    <row r="5">
      <c r="A5" s="6" t="inlineStr">
        <is>
          <t>Galicia VISA</t>
        </is>
      </c>
      <c r="B5" s="7" t="n">
        <v>293038.4</v>
      </c>
      <c r="C5" s="7" t="n">
        <v>273633.54</v>
      </c>
      <c r="D5" s="7" t="n">
        <v>221713.77</v>
      </c>
      <c r="E5" s="7" t="n">
        <v>39540.94</v>
      </c>
      <c r="F5" s="7" t="n">
        <v>0</v>
      </c>
      <c r="G5" s="7" t="n">
        <v>0</v>
      </c>
      <c r="H5" s="32">
        <f>SUM(B5:G5)</f>
        <v/>
      </c>
    </row>
    <row r="6">
      <c r="A6" s="6" t="inlineStr">
        <is>
          <t>Santander VISA</t>
        </is>
      </c>
      <c r="B6" s="7" t="n">
        <v>84347.37</v>
      </c>
      <c r="C6" s="7" t="n">
        <v>84347.37</v>
      </c>
      <c r="D6" s="7" t="n">
        <v>32681.54</v>
      </c>
      <c r="E6" s="7" t="n">
        <v>0</v>
      </c>
      <c r="F6" s="7" t="n">
        <v>0</v>
      </c>
      <c r="G6" s="7" t="n">
        <v>0</v>
      </c>
      <c r="H6" s="32">
        <f>SUM(B6:G6)</f>
        <v/>
      </c>
    </row>
    <row r="7">
      <c r="A7" s="6" t="inlineStr">
        <is>
          <t>Galicia Mastercard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32">
        <f>SUM(B7:G7)</f>
        <v/>
      </c>
    </row>
    <row r="8">
      <c r="A8" s="6" t="inlineStr">
        <is>
          <t>Santander AMEX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32">
        <f>SUM(B8:G8)</f>
        <v/>
      </c>
    </row>
    <row r="9">
      <c r="A9" s="6" t="inlineStr">
        <is>
          <t>BBVA VISA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32">
        <f>SUM(B9:G9)</f>
        <v/>
      </c>
    </row>
    <row r="10">
      <c r="A10" s="23" t="inlineStr">
        <is>
          <t>TOTAL</t>
        </is>
      </c>
      <c r="B10" s="18">
        <f>SUM(B5:B9)</f>
        <v/>
      </c>
      <c r="C10" s="18">
        <f>SUM(C5:C9)</f>
        <v/>
      </c>
      <c r="D10" s="18">
        <f>SUM(D5:D9)</f>
        <v/>
      </c>
      <c r="E10" s="18">
        <f>SUM(E5:E9)</f>
        <v/>
      </c>
      <c r="F10" s="18">
        <f>SUM(F5:F9)</f>
        <v/>
      </c>
      <c r="G10" s="18">
        <f>SUM(G5:G9)</f>
        <v/>
      </c>
      <c r="H10" s="18">
        <f>SUM(H5:H9)</f>
        <v/>
      </c>
    </row>
    <row r="12">
      <c r="A12" s="2" t="inlineStr">
        <is>
          <t>Estas cuotas se suman al consumo nuevo de cada mes. A partir de noviembre 2026 el piso baja a cero: si no tomás cuotas nuevas, ahí se libera ~$378.000/mes de capacidad de pago.</t>
        </is>
      </c>
    </row>
  </sheetData>
  <mergeCells count="1">
    <mergeCell ref="A12:H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9" customWidth="1" min="4" max="4"/>
    <col width="14" customWidth="1" min="5" max="5"/>
    <col width="15" customWidth="1" min="6" max="6"/>
    <col width="16" customWidth="1" min="7" max="7"/>
    <col width="16" customWidth="1" min="8" max="8"/>
    <col width="13" customWidth="1" min="9" max="9"/>
    <col width="15" customWidth="1" min="10" max="10"/>
    <col width="18" customWidth="1" min="11" max="11"/>
    <col width="14" customWidth="1" min="12" max="12"/>
    <col width="15" customWidth="1" min="13" max="13"/>
    <col width="34" customWidth="1" min="14" max="14"/>
  </cols>
  <sheetData>
    <row r="1">
      <c r="A1" s="1" t="inlineStr">
        <is>
          <t>Gastos del viaje — quién te tiene que devolver qué</t>
        </is>
      </c>
    </row>
    <row r="2">
      <c r="A2" s="2" t="inlineStr">
        <is>
          <t>Precargué los gastos de viaje que encontré en los resúmenes. Completá las celdas amarillas: qué parte te devuelven, quién y cuándo.</t>
        </is>
      </c>
    </row>
    <row r="4">
      <c r="A4" s="3" t="inlineStr">
        <is>
          <t>Tipo de cambio para pasar U$S a pesos</t>
        </is>
      </c>
      <c r="E4" s="4" t="n">
        <v>1420</v>
      </c>
    </row>
    <row r="6" ht="30" customHeight="1">
      <c r="A6" s="5" t="inlineStr">
        <is>
          <t>Fecha</t>
        </is>
      </c>
      <c r="B6" s="5" t="inlineStr">
        <is>
          <t>Tarjeta</t>
        </is>
      </c>
      <c r="C6" s="5" t="inlineStr">
        <is>
          <t>Comercio / concepto</t>
        </is>
      </c>
      <c r="D6" s="5" t="inlineStr">
        <is>
          <t>Moneda</t>
        </is>
      </c>
      <c r="E6" s="5" t="inlineStr">
        <is>
          <t>Importe original</t>
        </is>
      </c>
      <c r="F6" s="5" t="inlineStr">
        <is>
          <t>Importe en $</t>
        </is>
      </c>
      <c r="G6" s="5" t="inlineStr">
        <is>
          <t>Percepción 30% pagada</t>
        </is>
      </c>
      <c r="H6" s="5" t="inlineStr">
        <is>
          <t>Costo total para vos</t>
        </is>
      </c>
      <c r="I6" s="5" t="inlineStr">
        <is>
          <t>% que te devuelven</t>
        </is>
      </c>
      <c r="J6" s="5" t="inlineStr">
        <is>
          <t>Te deben $</t>
        </is>
      </c>
      <c r="K6" s="5" t="inlineStr">
        <is>
          <t>Quién</t>
        </is>
      </c>
      <c r="L6" s="5" t="inlineStr">
        <is>
          <t>Ya cobrado $</t>
        </is>
      </c>
      <c r="M6" s="5" t="inlineStr">
        <is>
          <t>Pendiente $</t>
        </is>
      </c>
      <c r="N6" s="5" t="inlineStr">
        <is>
          <t>Notas</t>
        </is>
      </c>
    </row>
    <row r="7" ht="30" customHeight="1">
      <c r="A7" s="29" t="inlineStr">
        <is>
          <t>13/12/2025</t>
        </is>
      </c>
      <c r="B7" s="29" t="inlineStr">
        <is>
          <t>Santander VISA</t>
        </is>
      </c>
      <c r="C7" s="29" t="inlineStr">
        <is>
          <t>AIRBNB * HMKJZ9T8MJ</t>
        </is>
      </c>
      <c r="D7" s="29" t="inlineStr">
        <is>
          <t>USD</t>
        </is>
      </c>
      <c r="E7" s="33" t="n">
        <v>2060.36</v>
      </c>
      <c r="F7" s="30">
        <f>IF(D7="ARS",E7,E7*$E$4)</f>
        <v/>
      </c>
      <c r="G7" s="30" t="n">
        <v>902437.6800000001</v>
      </c>
      <c r="H7" s="34">
        <f>F7+G7</f>
        <v/>
      </c>
      <c r="I7" s="35" t="n"/>
      <c r="J7" s="30">
        <f>H7*I7</f>
        <v/>
      </c>
      <c r="K7" s="36" t="n"/>
      <c r="L7" s="37" t="n"/>
      <c r="M7" s="34">
        <f>J7-N(L7)</f>
        <v/>
      </c>
      <c r="N7" s="29" t="inlineStr">
        <is>
          <t>Alojamiento. Percepción prorrateada: el resumen de enero cargó $1.040.504 sobre U$S 2.375,58 en total.</t>
        </is>
      </c>
    </row>
    <row r="8" ht="30" customHeight="1">
      <c r="A8" s="29" t="inlineStr">
        <is>
          <t>23/12/2025</t>
        </is>
      </c>
      <c r="B8" s="29" t="inlineStr">
        <is>
          <t>Santander VISA</t>
        </is>
      </c>
      <c r="C8" s="29" t="inlineStr">
        <is>
          <t>ASSIST-365 (asist. al viajero, 6 cuotas)</t>
        </is>
      </c>
      <c r="D8" s="29" t="inlineStr">
        <is>
          <t>ARS</t>
        </is>
      </c>
      <c r="E8" s="30" t="n">
        <v>129944</v>
      </c>
      <c r="F8" s="30">
        <f>IF(D8="ARS",E8,E8*$E$4)</f>
        <v/>
      </c>
      <c r="G8" s="30" t="n">
        <v>0</v>
      </c>
      <c r="H8" s="34">
        <f>F8+G8</f>
        <v/>
      </c>
      <c r="I8" s="35" t="n"/>
      <c r="J8" s="30">
        <f>H8*I8</f>
        <v/>
      </c>
      <c r="K8" s="36" t="n"/>
      <c r="L8" s="37" t="n"/>
      <c r="M8" s="34">
        <f>J8-N(L8)</f>
        <v/>
      </c>
      <c r="N8" s="29" t="inlineStr">
        <is>
          <t>Asistencia al viajero</t>
        </is>
      </c>
    </row>
    <row r="9" ht="30" customHeight="1">
      <c r="A9" s="29" t="inlineStr">
        <is>
          <t>25/12/2025</t>
        </is>
      </c>
      <c r="B9" s="29" t="inlineStr">
        <is>
          <t>Santander VISA</t>
        </is>
      </c>
      <c r="C9" s="29" t="inlineStr">
        <is>
          <t>MERPAGO*SMILESFIDELIDADEA (millas)</t>
        </is>
      </c>
      <c r="D9" s="29" t="inlineStr">
        <is>
          <t>ARS</t>
        </is>
      </c>
      <c r="E9" s="30" t="n">
        <v>50000</v>
      </c>
      <c r="F9" s="30">
        <f>IF(D9="ARS",E9,E9*$E$4)</f>
        <v/>
      </c>
      <c r="G9" s="30" t="n">
        <v>0</v>
      </c>
      <c r="H9" s="34">
        <f>F9+G9</f>
        <v/>
      </c>
      <c r="I9" s="35" t="n"/>
      <c r="J9" s="30">
        <f>H9*I9</f>
        <v/>
      </c>
      <c r="K9" s="36" t="n"/>
      <c r="L9" s="37" t="n"/>
      <c r="M9" s="34">
        <f>J9-N(L9)</f>
        <v/>
      </c>
      <c r="N9" s="29" t="inlineStr">
        <is>
          <t>Millas / pasajes</t>
        </is>
      </c>
    </row>
    <row r="10" ht="30" customHeight="1">
      <c r="A10" s="29" t="inlineStr">
        <is>
          <t>02/02/2026</t>
        </is>
      </c>
      <c r="B10" s="29" t="inlineStr">
        <is>
          <t>Galicia Mastercard</t>
        </is>
      </c>
      <c r="C10" s="29" t="inlineStr">
        <is>
          <t>JETSMART (emisión Uruguay)</t>
        </is>
      </c>
      <c r="D10" s="29" t="inlineStr">
        <is>
          <t>USD</t>
        </is>
      </c>
      <c r="E10" s="33" t="n">
        <v>2155.89</v>
      </c>
      <c r="F10" s="30">
        <f>IF(D10="ARS",E10,E10*$E$4)</f>
        <v/>
      </c>
      <c r="G10" s="30" t="n">
        <v>0</v>
      </c>
      <c r="H10" s="34">
        <f>F10+G10</f>
        <v/>
      </c>
      <c r="I10" s="35" t="n"/>
      <c r="J10" s="30">
        <f>H10*I10</f>
        <v/>
      </c>
      <c r="K10" s="36" t="n"/>
      <c r="L10" s="37" t="n"/>
      <c r="M10" s="34">
        <f>J10-N(L10)</f>
        <v/>
      </c>
      <c r="N10" s="29" t="inlineStr">
        <is>
          <t>Pasajes. La percepción de $904.827 fue debitada y luego devuelta en su totalidad.</t>
        </is>
      </c>
    </row>
    <row r="11" ht="30" customHeight="1">
      <c r="A11" s="29" t="inlineStr">
        <is>
          <t>01/02/2026</t>
        </is>
      </c>
      <c r="B11" s="29" t="inlineStr">
        <is>
          <t>Santander VISA</t>
        </is>
      </c>
      <c r="C11" s="29" t="inlineStr">
        <is>
          <t>AIRBNB * HMNCEMEXXJ</t>
        </is>
      </c>
      <c r="D11" s="29" t="inlineStr">
        <is>
          <t>USD</t>
        </is>
      </c>
      <c r="E11" s="33" t="n">
        <v>1494.68</v>
      </c>
      <c r="F11" s="30">
        <f>IF(D11="ARS",E11,E11*$E$4)</f>
        <v/>
      </c>
      <c r="G11" s="30" t="n">
        <v>649064.78</v>
      </c>
      <c r="H11" s="34">
        <f>F11+G11</f>
        <v/>
      </c>
      <c r="I11" s="35" t="n"/>
      <c r="J11" s="30">
        <f>H11*I11</f>
        <v/>
      </c>
      <c r="K11" s="36" t="n"/>
      <c r="L11" s="37" t="n"/>
      <c r="M11" s="34">
        <f>J11-N(L11)</f>
        <v/>
      </c>
      <c r="N11" s="29" t="inlineStr">
        <is>
          <t>Alojamiento. Percepción prorrateada del resumen de febrero.</t>
        </is>
      </c>
    </row>
    <row r="12" ht="30" customHeight="1">
      <c r="A12" s="29" t="inlineStr">
        <is>
          <t>08/03/2026</t>
        </is>
      </c>
      <c r="B12" s="29" t="inlineStr">
        <is>
          <t>Santander VISA</t>
        </is>
      </c>
      <c r="C12" s="29" t="inlineStr">
        <is>
          <t>MERPAGO*CORISASISTENCIAAL (6 cuotas)</t>
        </is>
      </c>
      <c r="D12" s="29" t="inlineStr">
        <is>
          <t>ARS</t>
        </is>
      </c>
      <c r="E12" s="30" t="n">
        <v>76109.28</v>
      </c>
      <c r="F12" s="30">
        <f>IF(D12="ARS",E12,E12*$E$4)</f>
        <v/>
      </c>
      <c r="G12" s="30" t="n">
        <v>0</v>
      </c>
      <c r="H12" s="34">
        <f>F12+G12</f>
        <v/>
      </c>
      <c r="I12" s="35" t="n"/>
      <c r="J12" s="30">
        <f>H12*I12</f>
        <v/>
      </c>
      <c r="K12" s="36" t="n"/>
      <c r="L12" s="37" t="n"/>
      <c r="M12" s="34">
        <f>J12-N(L12)</f>
        <v/>
      </c>
      <c r="N12" s="29" t="inlineStr">
        <is>
          <t>Asistencia al viajero</t>
        </is>
      </c>
    </row>
    <row r="13" ht="30" customHeight="1">
      <c r="A13" s="29" t="inlineStr">
        <is>
          <t>19/03/2026</t>
        </is>
      </c>
      <c r="B13" s="29" t="inlineStr">
        <is>
          <t>BBVA VISA</t>
        </is>
      </c>
      <c r="C13" s="29" t="inlineStr">
        <is>
          <t>DUTY FREE SHOP DOLARES</t>
        </is>
      </c>
      <c r="D13" s="29" t="inlineStr">
        <is>
          <t>ARS</t>
        </is>
      </c>
      <c r="E13" s="30" t="n">
        <v>558146.5699999999</v>
      </c>
      <c r="F13" s="30">
        <f>IF(D13="ARS",E13,E13*$E$4)</f>
        <v/>
      </c>
      <c r="G13" s="30" t="n">
        <v>0</v>
      </c>
      <c r="H13" s="34">
        <f>F13+G13</f>
        <v/>
      </c>
      <c r="I13" s="35" t="n"/>
      <c r="J13" s="30">
        <f>H13*I13</f>
        <v/>
      </c>
      <c r="K13" s="36" t="n"/>
      <c r="L13" s="37" t="n"/>
      <c r="M13" s="34">
        <f>J13-N(L13)</f>
        <v/>
      </c>
      <c r="N13" s="29" t="inlineStr">
        <is>
          <t>Compras duty free</t>
        </is>
      </c>
    </row>
    <row r="14" ht="30" customHeight="1">
      <c r="A14" s="29" t="inlineStr">
        <is>
          <t>22/04/2026</t>
        </is>
      </c>
      <c r="B14" s="29" t="inlineStr">
        <is>
          <t>Santander VISA</t>
        </is>
      </c>
      <c r="C14" s="29" t="inlineStr">
        <is>
          <t>AIRBNB * HMYBQP9WNR</t>
        </is>
      </c>
      <c r="D14" s="29" t="inlineStr">
        <is>
          <t>USD</t>
        </is>
      </c>
      <c r="E14" s="33" t="n">
        <v>164.96</v>
      </c>
      <c r="F14" s="30">
        <f>IF(D14="ARS",E14,E14*$E$4)</f>
        <v/>
      </c>
      <c r="G14" s="30" t="n">
        <v>0</v>
      </c>
      <c r="H14" s="34">
        <f>F14+G14</f>
        <v/>
      </c>
      <c r="I14" s="35" t="n"/>
      <c r="J14" s="30">
        <f>H14*I14</f>
        <v/>
      </c>
      <c r="K14" s="36" t="n"/>
      <c r="L14" s="37" t="n"/>
      <c r="M14" s="34">
        <f>J14-N(L14)</f>
        <v/>
      </c>
      <c r="N14" s="29" t="inlineStr">
        <is>
          <t>Alojamiento</t>
        </is>
      </c>
    </row>
    <row r="15" ht="30" customHeight="1">
      <c r="A15" s="29" t="inlineStr">
        <is>
          <t>25/05/2026</t>
        </is>
      </c>
      <c r="B15" s="29" t="inlineStr">
        <is>
          <t>Santander VISA</t>
        </is>
      </c>
      <c r="C15" s="29" t="inlineStr">
        <is>
          <t>MERPAGO*SMILESFIDELIDADEA (millas)</t>
        </is>
      </c>
      <c r="D15" s="29" t="inlineStr">
        <is>
          <t>ARS</t>
        </is>
      </c>
      <c r="E15" s="30" t="n">
        <v>68000</v>
      </c>
      <c r="F15" s="30">
        <f>IF(D15="ARS",E15,E15*$E$4)</f>
        <v/>
      </c>
      <c r="G15" s="30" t="n">
        <v>0</v>
      </c>
      <c r="H15" s="34">
        <f>F15+G15</f>
        <v/>
      </c>
      <c r="I15" s="35" t="n"/>
      <c r="J15" s="30">
        <f>H15*I15</f>
        <v/>
      </c>
      <c r="K15" s="36" t="n"/>
      <c r="L15" s="37" t="n"/>
      <c r="M15" s="34">
        <f>J15-N(L15)</f>
        <v/>
      </c>
      <c r="N15" s="29" t="inlineStr">
        <is>
          <t>Millas / pasajes</t>
        </is>
      </c>
    </row>
    <row r="16">
      <c r="A16" s="38" t="n"/>
      <c r="B16" s="38" t="n"/>
      <c r="C16" s="38" t="n"/>
      <c r="D16" s="38" t="n"/>
      <c r="E16" s="39" t="n"/>
      <c r="F16" s="7">
        <f>IF(D16="ARS",E16,IF(E16="","",E16*$E$4))</f>
        <v/>
      </c>
      <c r="G16" s="39" t="n"/>
      <c r="H16" s="32">
        <f>N(F16)+N(G16)</f>
        <v/>
      </c>
      <c r="I16" s="40" t="n"/>
      <c r="J16" s="7">
        <f>H16*N(I16)</f>
        <v/>
      </c>
      <c r="K16" s="38" t="n"/>
      <c r="L16" s="38" t="n"/>
      <c r="M16" s="32">
        <f>J16-N(L16)</f>
        <v/>
      </c>
      <c r="N16" s="41" t="n"/>
    </row>
    <row r="17">
      <c r="A17" s="38" t="n"/>
      <c r="B17" s="38" t="n"/>
      <c r="C17" s="38" t="n"/>
      <c r="D17" s="38" t="n"/>
      <c r="E17" s="39" t="n"/>
      <c r="F17" s="7">
        <f>IF(D17="ARS",E17,IF(E17="","",E17*$E$4))</f>
        <v/>
      </c>
      <c r="G17" s="39" t="n"/>
      <c r="H17" s="32">
        <f>N(F17)+N(G17)</f>
        <v/>
      </c>
      <c r="I17" s="40" t="n"/>
      <c r="J17" s="7">
        <f>H17*N(I17)</f>
        <v/>
      </c>
      <c r="K17" s="38" t="n"/>
      <c r="L17" s="38" t="n"/>
      <c r="M17" s="32">
        <f>J17-N(L17)</f>
        <v/>
      </c>
      <c r="N17" s="41" t="n"/>
    </row>
    <row r="18">
      <c r="A18" s="38" t="n"/>
      <c r="B18" s="38" t="n"/>
      <c r="C18" s="38" t="n"/>
      <c r="D18" s="38" t="n"/>
      <c r="E18" s="39" t="n"/>
      <c r="F18" s="7">
        <f>IF(D18="ARS",E18,IF(E18="","",E18*$E$4))</f>
        <v/>
      </c>
      <c r="G18" s="39" t="n"/>
      <c r="H18" s="32">
        <f>N(F18)+N(G18)</f>
        <v/>
      </c>
      <c r="I18" s="40" t="n"/>
      <c r="J18" s="7">
        <f>H18*N(I18)</f>
        <v/>
      </c>
      <c r="K18" s="38" t="n"/>
      <c r="L18" s="38" t="n"/>
      <c r="M18" s="32">
        <f>J18-N(L18)</f>
        <v/>
      </c>
      <c r="N18" s="41" t="n"/>
    </row>
    <row r="19">
      <c r="A19" s="38" t="n"/>
      <c r="B19" s="38" t="n"/>
      <c r="C19" s="38" t="n"/>
      <c r="D19" s="38" t="n"/>
      <c r="E19" s="39" t="n"/>
      <c r="F19" s="7">
        <f>IF(D19="ARS",E19,IF(E19="","",E19*$E$4))</f>
        <v/>
      </c>
      <c r="G19" s="39" t="n"/>
      <c r="H19" s="32">
        <f>N(F19)+N(G19)</f>
        <v/>
      </c>
      <c r="I19" s="40" t="n"/>
      <c r="J19" s="7">
        <f>H19*N(I19)</f>
        <v/>
      </c>
      <c r="K19" s="38" t="n"/>
      <c r="L19" s="38" t="n"/>
      <c r="M19" s="32">
        <f>J19-N(L19)</f>
        <v/>
      </c>
      <c r="N19" s="41" t="n"/>
    </row>
    <row r="20">
      <c r="A20" s="38" t="n"/>
      <c r="B20" s="38" t="n"/>
      <c r="C20" s="38" t="n"/>
      <c r="D20" s="38" t="n"/>
      <c r="E20" s="39" t="n"/>
      <c r="F20" s="7">
        <f>IF(D20="ARS",E20,IF(E20="","",E20*$E$4))</f>
        <v/>
      </c>
      <c r="G20" s="39" t="n"/>
      <c r="H20" s="32">
        <f>N(F20)+N(G20)</f>
        <v/>
      </c>
      <c r="I20" s="40" t="n"/>
      <c r="J20" s="7">
        <f>H20*N(I20)</f>
        <v/>
      </c>
      <c r="K20" s="38" t="n"/>
      <c r="L20" s="38" t="n"/>
      <c r="M20" s="32">
        <f>J20-N(L20)</f>
        <v/>
      </c>
      <c r="N20" s="41" t="n"/>
    </row>
    <row r="21">
      <c r="A21" s="38" t="n"/>
      <c r="B21" s="38" t="n"/>
      <c r="C21" s="38" t="n"/>
      <c r="D21" s="38" t="n"/>
      <c r="E21" s="39" t="n"/>
      <c r="F21" s="7">
        <f>IF(D21="ARS",E21,IF(E21="","",E21*$E$4))</f>
        <v/>
      </c>
      <c r="G21" s="39" t="n"/>
      <c r="H21" s="32">
        <f>N(F21)+N(G21)</f>
        <v/>
      </c>
      <c r="I21" s="40" t="n"/>
      <c r="J21" s="7">
        <f>H21*N(I21)</f>
        <v/>
      </c>
      <c r="K21" s="38" t="n"/>
      <c r="L21" s="38" t="n"/>
      <c r="M21" s="32">
        <f>J21-N(L21)</f>
        <v/>
      </c>
      <c r="N21" s="41" t="n"/>
    </row>
    <row r="22">
      <c r="A22" s="38" t="n"/>
      <c r="B22" s="38" t="n"/>
      <c r="C22" s="38" t="n"/>
      <c r="D22" s="38" t="n"/>
      <c r="E22" s="39" t="n"/>
      <c r="F22" s="7">
        <f>IF(D22="ARS",E22,IF(E22="","",E22*$E$4))</f>
        <v/>
      </c>
      <c r="G22" s="39" t="n"/>
      <c r="H22" s="32">
        <f>N(F22)+N(G22)</f>
        <v/>
      </c>
      <c r="I22" s="40" t="n"/>
      <c r="J22" s="7">
        <f>H22*N(I22)</f>
        <v/>
      </c>
      <c r="K22" s="38" t="n"/>
      <c r="L22" s="38" t="n"/>
      <c r="M22" s="32">
        <f>J22-N(L22)</f>
        <v/>
      </c>
      <c r="N22" s="41" t="n"/>
    </row>
    <row r="23">
      <c r="A23" s="38" t="n"/>
      <c r="B23" s="38" t="n"/>
      <c r="C23" s="38" t="n"/>
      <c r="D23" s="38" t="n"/>
      <c r="E23" s="39" t="n"/>
      <c r="F23" s="7">
        <f>IF(D23="ARS",E23,IF(E23="","",E23*$E$4))</f>
        <v/>
      </c>
      <c r="G23" s="39" t="n"/>
      <c r="H23" s="32">
        <f>N(F23)+N(G23)</f>
        <v/>
      </c>
      <c r="I23" s="40" t="n"/>
      <c r="J23" s="7">
        <f>H23*N(I23)</f>
        <v/>
      </c>
      <c r="K23" s="38" t="n"/>
      <c r="L23" s="38" t="n"/>
      <c r="M23" s="32">
        <f>J23-N(L23)</f>
        <v/>
      </c>
      <c r="N23" s="41" t="n"/>
    </row>
    <row r="24">
      <c r="A24" s="16" t="inlineStr">
        <is>
          <t>TOTAL</t>
        </is>
      </c>
      <c r="B24" s="17" t="n"/>
      <c r="C24" s="17" t="n"/>
      <c r="D24" s="17" t="n"/>
      <c r="E24" s="17" t="n"/>
      <c r="F24" s="18">
        <f>SUM(F7:F23)</f>
        <v/>
      </c>
      <c r="G24" s="18">
        <f>SUM(G7:G23)</f>
        <v/>
      </c>
      <c r="H24" s="18">
        <f>SUM(H7:H23)</f>
        <v/>
      </c>
      <c r="I24" s="17" t="n"/>
      <c r="J24" s="18">
        <f>SUM(J7:J23)</f>
        <v/>
      </c>
      <c r="K24" s="17" t="n"/>
      <c r="L24" s="18">
        <f>SUM(L7:L23)</f>
        <v/>
      </c>
      <c r="M24" s="18">
        <f>SUM(M7:M23)</f>
        <v/>
      </c>
      <c r="N24" s="17" t="n"/>
    </row>
    <row r="26">
      <c r="A26" s="3" t="inlineStr">
        <is>
          <t>Cómo usar esta hoja</t>
        </is>
      </c>
    </row>
    <row r="27">
      <c r="A27" s="2" t="inlineStr">
        <is>
          <t>• Celdas amarillas = las completás vos. El resto son fórmulas, no las toques.</t>
        </is>
      </c>
    </row>
    <row r="28">
      <c r="A28" s="2" t="inlineStr">
        <is>
          <t>• Columna I ('% que te devuelven'): escribí 0,5 para el 50%, 1 para el 100%. Si de un Airbnb de U$S 2.060 te devuelven la mitad, va 0,5.</t>
        </is>
      </c>
    </row>
    <row r="29">
      <c r="A29" s="2" t="inlineStr">
        <is>
          <t>• Columna H ('Costo total para vos') suma el consumo más la percepción del 30%, que es lo que efectivamente saliste a pagar.</t>
        </is>
      </c>
    </row>
    <row r="30">
      <c r="A30" s="2" t="inlineStr">
        <is>
          <t>• Ojo con la percepción: si te la devuelve AFIP, el costo real baja. Conviene acordar el reintegro sobre el importe sin percepción (columna F) y reclamar la percepción por tu cuenta.</t>
        </is>
      </c>
    </row>
    <row r="31">
      <c r="A31" s="2" t="inlineStr">
        <is>
          <t>• Revisá los conceptos precargados: puse los que parecen del viaje según el nombre del comercio. Borrá los que no correspondan y agregá los que falten en las filas amarillas de abajo.</t>
        </is>
      </c>
    </row>
  </sheetData>
  <mergeCells count="5">
    <mergeCell ref="A27:N27"/>
    <mergeCell ref="A31:N31"/>
    <mergeCell ref="A30:N30"/>
    <mergeCell ref="A29:N29"/>
    <mergeCell ref="A28:N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6" customWidth="1" min="4" max="4"/>
    <col width="60" customWidth="1" min="5" max="5"/>
  </cols>
  <sheetData>
    <row r="1">
      <c r="A1" s="1" t="inlineStr">
        <is>
          <t>Calendario mensual de vencimientos</t>
        </is>
      </c>
    </row>
    <row r="2">
      <c r="A2" s="2" t="inlineStr">
        <is>
          <t>Fechas tomadas del campo 'próximo vencimiento' de cada resumen de junio 2026. Verificá con el homebanking, pueden correrse un día por feriados.</t>
        </is>
      </c>
    </row>
    <row r="4" ht="30" customHeight="1">
      <c r="A4" s="5" t="inlineStr">
        <is>
          <t>Día del mes (aprox.)</t>
        </is>
      </c>
      <c r="B4" s="5" t="inlineStr">
        <is>
          <t>Tarjeta</t>
        </is>
      </c>
      <c r="C4" s="5" t="inlineStr">
        <is>
          <t>Banco</t>
        </is>
      </c>
      <c r="D4" s="5" t="inlineStr">
        <is>
          <t>Cierre aprox.</t>
        </is>
      </c>
      <c r="E4" s="5" t="inlineStr">
        <is>
          <t>Comentario</t>
        </is>
      </c>
    </row>
    <row r="5">
      <c r="A5" s="42" t="n">
        <v>5</v>
      </c>
      <c r="B5" s="10" t="inlineStr">
        <is>
          <t>Galicia Mastercard</t>
        </is>
      </c>
      <c r="C5" s="10" t="inlineStr">
        <is>
          <t>Galicia</t>
        </is>
      </c>
      <c r="D5" s="10" t="inlineStr">
        <is>
          <t>Fin de mes</t>
        </is>
      </c>
      <c r="E5" s="10" t="inlineStr">
        <is>
          <t>Próximo cierre 02/07, vencimiento 13/07/2026</t>
        </is>
      </c>
    </row>
    <row r="6">
      <c r="A6" s="42" t="n">
        <v>6</v>
      </c>
      <c r="B6" s="10" t="inlineStr">
        <is>
          <t>BBVA VISA</t>
        </is>
      </c>
      <c r="C6" s="10" t="inlineStr">
        <is>
          <t>BBVA</t>
        </is>
      </c>
      <c r="D6" s="10" t="inlineStr">
        <is>
          <t>Día 25</t>
        </is>
      </c>
      <c r="E6" s="10" t="inlineStr">
        <is>
          <t>Cierre 25/06, vencimiento 06/07/2026. Se debita solo de la caja de ahorro</t>
        </is>
      </c>
    </row>
    <row r="7">
      <c r="A7" s="42" t="n">
        <v>17</v>
      </c>
      <c r="B7" s="10" t="inlineStr">
        <is>
          <t>Santander AMEX</t>
        </is>
      </c>
      <c r="C7" s="10" t="inlineStr">
        <is>
          <t>Santander</t>
        </is>
      </c>
      <c r="D7" s="10" t="inlineStr">
        <is>
          <t>Día 8</t>
        </is>
      </c>
      <c r="E7" s="10" t="inlineStr">
        <is>
          <t>Mismo ciclo que la VISA. Es el débito de Medicus</t>
        </is>
      </c>
    </row>
    <row r="8">
      <c r="A8" s="42" t="n">
        <v>17</v>
      </c>
      <c r="B8" s="10" t="inlineStr">
        <is>
          <t>Santander VISA</t>
        </is>
      </c>
      <c r="C8" s="10" t="inlineStr">
        <is>
          <t>Santander</t>
        </is>
      </c>
      <c r="D8" s="10" t="inlineStr">
        <is>
          <t>Día 8</t>
        </is>
      </c>
      <c r="E8" s="10" t="inlineStr">
        <is>
          <t>Próximo cierre 08/07, vencimiento 17/07/2026</t>
        </is>
      </c>
    </row>
    <row r="9">
      <c r="A9" s="42" t="n">
        <v>24</v>
      </c>
      <c r="B9" s="10" t="inlineStr">
        <is>
          <t>Galicia VISA</t>
        </is>
      </c>
      <c r="C9" s="10" t="inlineStr">
        <is>
          <t>Galicia</t>
        </is>
      </c>
      <c r="D9" s="10" t="inlineStr">
        <is>
          <t>Día 16</t>
        </is>
      </c>
      <c r="E9" s="10" t="inlineStr">
        <is>
          <t>Próximo cierre 16/07, vencimiento 24/07/2026</t>
        </is>
      </c>
    </row>
    <row r="12">
      <c r="A12" s="2" t="inlineStr">
        <is>
          <t>Los vencimientos caen los días 5, 6, 17, 17 y 24. Es decir: dos golpes fuertes por mes, a principio y a mitad. Vale la pena juntar el dinero en dos tandas y no ir pagando suelto.</t>
        </is>
      </c>
    </row>
  </sheetData>
  <mergeCells count="1">
    <mergeCell ref="A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8" customWidth="1" min="4" max="4"/>
    <col width="66" customWidth="1" min="5" max="5"/>
  </cols>
  <sheetData>
    <row r="1">
      <c r="A1" s="1" t="inlineStr">
        <is>
          <t>Los próximos 12 meses — en qué orden va cada dólar</t>
        </is>
      </c>
    </row>
    <row r="2">
      <c r="A2" s="2" t="inlineStr">
        <is>
          <t>Todo en USD. Supuesto: Roxom sube a US$ 2.400 desde septiembre 2026. Si sale menos, cambiá D4 y se recalcula todo.</t>
        </is>
      </c>
    </row>
    <row r="4">
      <c r="A4" s="3" t="inlineStr">
        <is>
          <t>Ingreso mensual esperado (US$)</t>
        </is>
      </c>
      <c r="D4" s="4" t="n">
        <v>2700</v>
      </c>
    </row>
    <row r="5">
      <c r="A5" s="3" t="inlineStr">
        <is>
          <t>Vida cotidiana + software (US$/mes)</t>
        </is>
      </c>
      <c r="D5" s="4" t="n">
        <v>923</v>
      </c>
    </row>
    <row r="6">
      <c r="A6" s="3" t="inlineStr">
        <is>
          <t>Proyecto bita/dose (US$/mes)</t>
        </is>
      </c>
      <c r="D6" s="4" t="n">
        <v>641</v>
      </c>
    </row>
    <row r="7">
      <c r="A7" s="3" t="inlineStr">
        <is>
          <t>Excedente mensual</t>
        </is>
      </c>
      <c r="D7" s="43">
        <f>D4-D5-D6</f>
        <v/>
      </c>
    </row>
    <row r="9" ht="32" customHeight="1">
      <c r="A9" s="5" t="inlineStr">
        <is>
          <t>Orden</t>
        </is>
      </c>
      <c r="B9" s="5" t="inlineStr">
        <is>
          <t>Destino</t>
        </is>
      </c>
      <c r="C9" s="5" t="inlineStr">
        <is>
          <t>Monto US$</t>
        </is>
      </c>
      <c r="D9" s="5" t="inlineStr">
        <is>
          <t>Meses acumulados</t>
        </is>
      </c>
      <c r="E9" s="5" t="inlineStr">
        <is>
          <t>Por qué va acá</t>
        </is>
      </c>
    </row>
    <row r="10" ht="44" customHeight="1">
      <c r="A10" s="29" t="n">
        <v>1</v>
      </c>
      <c r="B10" s="29" t="inlineStr">
        <is>
          <t>Mastercard Galicia (en mora)</t>
        </is>
      </c>
      <c r="C10" s="30" t="n">
        <v>459</v>
      </c>
      <c r="D10" s="44">
        <f>SUM($C$10:C10)/$D$7</f>
        <v/>
      </c>
      <c r="E10" s="29" t="inlineStr">
        <is>
          <t>Es lo único que crece solo: 7,056% mensual más punitorios. Cada mes que pasa cuesta US$ 39.</t>
        </is>
      </c>
    </row>
    <row r="11" ht="44" customHeight="1">
      <c r="A11" s="29" t="n">
        <v>2</v>
      </c>
      <c r="B11" s="29" t="inlineStr">
        <is>
          <t>Resto de la deuda de tarjetas</t>
        </is>
      </c>
      <c r="C11" s="30" t="n">
        <v>3499</v>
      </c>
      <c r="D11" s="44">
        <f>SUM($C$10:C11)/$D$7</f>
        <v/>
      </c>
      <c r="E11" s="29" t="inlineStr">
        <is>
          <t>Galicia VISA, Santander VISA y AMEX, BBVA. No devengan si se pagan al total, pero consumen límite y aparecen en Nosis.</t>
        </is>
      </c>
    </row>
    <row r="12" ht="44" customHeight="1">
      <c r="A12" s="29" t="n">
        <v>3</v>
      </c>
      <c r="B12" s="29" t="inlineStr">
        <is>
          <t>Fondo de emergencia (6 meses)</t>
        </is>
      </c>
      <c r="C12" s="30" t="n">
        <v>5541</v>
      </c>
      <c r="D12" s="44">
        <f>SUM($C$10:C12)/$D$7</f>
        <v/>
      </c>
      <c r="E12" s="29" t="inlineStr">
        <is>
          <t>Seis meses de vida cotidiana. Ya sabés para qué sirve: cubrió sep-nov 2025 cuando te quedaste con un solo ingreso.</t>
        </is>
      </c>
    </row>
    <row r="13" ht="44" customHeight="1">
      <c r="A13" s="29" t="n">
        <v>4</v>
      </c>
      <c r="B13" s="29" t="inlineStr">
        <is>
          <t>Recomponer cartera PPI</t>
        </is>
      </c>
      <c r="C13" s="30" t="n">
        <v>1464</v>
      </c>
      <c r="D13" s="44">
        <f>SUM($C$10:C13)/$D$7</f>
        <v/>
      </c>
      <c r="E13" s="29" t="inlineStr">
        <is>
          <t>Volver al capital que tenías antes de liquidarlo. Recién acá empieza a acumularse patrimonio.</t>
        </is>
      </c>
    </row>
    <row r="14">
      <c r="B14" s="3" t="inlineStr">
        <is>
          <t>TOTAL</t>
        </is>
      </c>
      <c r="C14" s="18">
        <f>SUM(C10:C13)</f>
        <v/>
      </c>
      <c r="D14" s="45">
        <f>C14/D7</f>
        <v/>
      </c>
      <c r="E14" s="2" t="inlineStr">
        <is>
          <t>Meses hasta tener deuda cero, fondo completo y cartera recompuesta.</t>
        </is>
      </c>
    </row>
    <row r="16">
      <c r="B16" s="3" t="inlineStr">
        <is>
          <t>Acelerador: percepción RG 5617 a recuperar de AFIP</t>
        </is>
      </c>
      <c r="C16" s="46" t="n">
        <v>1473</v>
      </c>
      <c r="E16" s="2" t="inlineStr">
        <is>
          <t>Ya es tuya. Si la cobrás, todo el cuadro se adelanta ~1,3 meses.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3" customWidth="1" min="4" max="4"/>
    <col width="14" customWidth="1" min="5" max="5"/>
    <col width="14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Camino a US$ 10.000 – 20.000 por mes</t>
        </is>
      </c>
    </row>
    <row r="2">
      <c r="A2" s="2" t="inlineStr">
        <is>
          <t>Escenario base. Las celdas amarillas son supuestos: cambialos y el resto se recalcula.</t>
        </is>
      </c>
    </row>
    <row r="4">
      <c r="A4" s="3" t="inlineStr">
        <is>
          <t>Inflación de tu costo de vida en USD (anual)</t>
        </is>
      </c>
      <c r="E4" s="47" t="n">
        <v>0.05</v>
      </c>
    </row>
    <row r="5">
      <c r="A5" s="3" t="inlineStr">
        <is>
          <t>Rendimiento anual de cartera (supuesto, no es recomendación)</t>
        </is>
      </c>
      <c r="E5" s="47" t="n">
        <v>0.06</v>
      </c>
    </row>
    <row r="7" ht="32" customHeight="1">
      <c r="A7" s="5" t="inlineStr">
        <is>
          <t>Año</t>
        </is>
      </c>
      <c r="B7" s="5" t="inlineStr">
        <is>
          <t>Rol / hito</t>
        </is>
      </c>
      <c r="C7" s="5" t="inlineStr">
        <is>
          <t>Ingreso US$/mes</t>
        </is>
      </c>
      <c r="D7" s="5" t="inlineStr">
        <is>
          <t>Vida US$/mes</t>
        </is>
      </c>
      <c r="E7" s="5" t="inlineStr">
        <is>
          <t>Proyecto US$/mes</t>
        </is>
      </c>
      <c r="F7" s="5" t="inlineStr">
        <is>
          <t>Excedente US$/mes</t>
        </is>
      </c>
      <c r="G7" s="5" t="inlineStr">
        <is>
          <t>Aporte anual a cartera</t>
        </is>
      </c>
      <c r="H7" s="5" t="inlineStr">
        <is>
          <t>Cartera fin de año</t>
        </is>
      </c>
      <c r="I7" s="5" t="inlineStr">
        <is>
          <t>Renta al 4% (US$/mes)</t>
        </is>
      </c>
    </row>
    <row r="8">
      <c r="A8" s="6" t="n">
        <v>2026</v>
      </c>
      <c r="B8" s="6" t="inlineStr">
        <is>
          <t>Review Roxom</t>
        </is>
      </c>
      <c r="C8" s="39" t="n">
        <v>2700</v>
      </c>
      <c r="D8" s="7" t="n">
        <v>923</v>
      </c>
      <c r="E8" s="7" t="n">
        <v>641</v>
      </c>
      <c r="F8" s="32">
        <f>C8-D8-E8</f>
        <v/>
      </c>
      <c r="G8" s="7">
        <f>MAX(F8,0)*12</f>
        <v/>
      </c>
      <c r="H8" s="48">
        <f>G8</f>
        <v/>
      </c>
      <c r="I8" s="7">
        <f>H8*0.04/12</f>
        <v/>
      </c>
    </row>
    <row r="9">
      <c r="A9" s="6" t="n">
        <v>2027</v>
      </c>
      <c r="B9" s="6" t="inlineStr">
        <is>
          <t>Senior / Associate</t>
        </is>
      </c>
      <c r="C9" s="39" t="n">
        <v>3200</v>
      </c>
      <c r="D9" s="7">
        <f>D8*(1+$E$4)</f>
        <v/>
      </c>
      <c r="E9" s="7" t="n">
        <v>641</v>
      </c>
      <c r="F9" s="32">
        <f>C9-D9-E9</f>
        <v/>
      </c>
      <c r="G9" s="7">
        <f>MAX(F9,0)*12</f>
        <v/>
      </c>
      <c r="H9" s="48">
        <f>H8*(1+$E$5)+G9</f>
        <v/>
      </c>
      <c r="I9" s="7">
        <f>H9*0.04/12</f>
        <v/>
      </c>
    </row>
    <row r="10">
      <c r="A10" s="6" t="n">
        <v>2028</v>
      </c>
      <c r="B10" s="6" t="inlineStr">
        <is>
          <t>Associate senior o cambio</t>
        </is>
      </c>
      <c r="C10" s="39" t="n">
        <v>4200</v>
      </c>
      <c r="D10" s="7">
        <f>D9*(1+$E$4)</f>
        <v/>
      </c>
      <c r="E10" s="7" t="n">
        <v>0</v>
      </c>
      <c r="F10" s="32">
        <f>C10-D10-E10</f>
        <v/>
      </c>
      <c r="G10" s="7">
        <f>MAX(F10,0)*12</f>
        <v/>
      </c>
      <c r="H10" s="48">
        <f>H9*(1+$E$5)+G10</f>
        <v/>
      </c>
      <c r="I10" s="7">
        <f>H10*0.04/12</f>
        <v/>
      </c>
    </row>
    <row r="11">
      <c r="A11" s="6" t="n">
        <v>2029</v>
      </c>
      <c r="B11" s="6" t="inlineStr">
        <is>
          <t>Manager / Strategy</t>
        </is>
      </c>
      <c r="C11" s="39" t="n">
        <v>5600</v>
      </c>
      <c r="D11" s="7">
        <f>D10*(1+$E$4)</f>
        <v/>
      </c>
      <c r="E11" s="7" t="n">
        <v>0</v>
      </c>
      <c r="F11" s="32">
        <f>C11-D11-E11</f>
        <v/>
      </c>
      <c r="G11" s="7">
        <f>MAX(F11,0)*12</f>
        <v/>
      </c>
      <c r="H11" s="48">
        <f>H10*(1+$E$5)+G11</f>
        <v/>
      </c>
      <c r="I11" s="7">
        <f>H11*0.04/12</f>
        <v/>
      </c>
    </row>
    <row r="12">
      <c r="A12" s="6" t="n">
        <v>2030</v>
      </c>
      <c r="B12" s="6" t="inlineStr">
        <is>
          <t>Head / Principal</t>
        </is>
      </c>
      <c r="C12" s="39" t="n">
        <v>7500</v>
      </c>
      <c r="D12" s="7">
        <f>D11*(1+$E$4)</f>
        <v/>
      </c>
      <c r="E12" s="7" t="n">
        <v>0</v>
      </c>
      <c r="F12" s="32">
        <f>C12-D12-E12</f>
        <v/>
      </c>
      <c r="G12" s="7">
        <f>MAX(F12,0)*12</f>
        <v/>
      </c>
      <c r="H12" s="48">
        <f>H11*(1+$E$5)+G12</f>
        <v/>
      </c>
      <c r="I12" s="7">
        <f>H12*0.04/12</f>
        <v/>
      </c>
    </row>
    <row r="13">
      <c r="A13" s="6" t="n">
        <v>2031</v>
      </c>
      <c r="B13" s="6" t="inlineStr">
        <is>
          <t>Director</t>
        </is>
      </c>
      <c r="C13" s="39" t="n">
        <v>10000</v>
      </c>
      <c r="D13" s="7">
        <f>D12*(1+$E$4)</f>
        <v/>
      </c>
      <c r="E13" s="7" t="n">
        <v>0</v>
      </c>
      <c r="F13" s="32">
        <f>C13-D13-E13</f>
        <v/>
      </c>
      <c r="G13" s="7">
        <f>MAX(F13,0)*12</f>
        <v/>
      </c>
      <c r="H13" s="48">
        <f>H12*(1+$E$5)+G13</f>
        <v/>
      </c>
      <c r="I13" s="7">
        <f>H13*0.04/12</f>
        <v/>
      </c>
    </row>
    <row r="14">
      <c r="A14" s="6" t="n">
        <v>2032</v>
      </c>
      <c r="B14" s="6" t="inlineStr">
        <is>
          <t>Director</t>
        </is>
      </c>
      <c r="C14" s="39" t="n">
        <v>13000</v>
      </c>
      <c r="D14" s="7">
        <f>D13*(1+$E$4)</f>
        <v/>
      </c>
      <c r="E14" s="7" t="n">
        <v>0</v>
      </c>
      <c r="F14" s="32">
        <f>C14-D14-E14</f>
        <v/>
      </c>
      <c r="G14" s="7">
        <f>MAX(F14,0)*12</f>
        <v/>
      </c>
      <c r="H14" s="48">
        <f>H13*(1+$E$5)+G14</f>
        <v/>
      </c>
      <c r="I14" s="7">
        <f>H14*0.04/12</f>
        <v/>
      </c>
    </row>
    <row r="15">
      <c r="A15" s="6" t="n">
        <v>2033</v>
      </c>
      <c r="B15" s="6" t="inlineStr">
        <is>
          <t>VP</t>
        </is>
      </c>
      <c r="C15" s="39" t="n">
        <v>17000</v>
      </c>
      <c r="D15" s="7">
        <f>D14*(1+$E$4)</f>
        <v/>
      </c>
      <c r="E15" s="7" t="n">
        <v>0</v>
      </c>
      <c r="F15" s="32">
        <f>C15-D15-E15</f>
        <v/>
      </c>
      <c r="G15" s="7">
        <f>MAX(F15,0)*12</f>
        <v/>
      </c>
      <c r="H15" s="48">
        <f>H14*(1+$E$5)+G15</f>
        <v/>
      </c>
      <c r="I15" s="7">
        <f>H15*0.04/12</f>
        <v/>
      </c>
    </row>
    <row r="16">
      <c r="A16" s="6" t="n">
        <v>2034</v>
      </c>
      <c r="B16" s="6" t="inlineStr">
        <is>
          <t>VP / GP track</t>
        </is>
      </c>
      <c r="C16" s="39" t="n">
        <v>20000</v>
      </c>
      <c r="D16" s="7">
        <f>D15*(1+$E$4)</f>
        <v/>
      </c>
      <c r="E16" s="7" t="n">
        <v>0</v>
      </c>
      <c r="F16" s="32">
        <f>C16-D16-E16</f>
        <v/>
      </c>
      <c r="G16" s="7">
        <f>MAX(F16,0)*12</f>
        <v/>
      </c>
      <c r="H16" s="48">
        <f>H15*(1+$E$5)+G16</f>
        <v/>
      </c>
      <c r="I16" s="7">
        <f>H16*0.04/12</f>
        <v/>
      </c>
    </row>
    <row r="18">
      <c r="A18" s="2" t="inlineStr">
        <is>
          <t>• El fondo de emergencia (US$ 5.541) se completa dentro de 2026 y no vuelve a aparecer: se da por hecho.</t>
        </is>
      </c>
    </row>
    <row r="19">
      <c r="A19" s="2" t="inlineStr">
        <is>
          <t>• El proyecto deja de consumir a fin de 2027 — o porque factura, o porque se cierra. Si sigue consumiendo, restalo de la columna F.</t>
        </is>
      </c>
    </row>
    <row r="20">
      <c r="A20" s="2" t="inlineStr">
        <is>
          <t>• La cartera NO es el camino a los US$ 10.000/mes: para generar eso al 4% harían falta US$ 3.000.000 de capital.</t>
        </is>
      </c>
    </row>
    <row r="21">
      <c r="A21" s="2" t="inlineStr">
        <is>
          <t>• El salto de 2028 en adelante depende de cambios de rol, no de aumentos por inflación. Cada renglón es una promoción o un cambio de empresa.</t>
        </is>
      </c>
    </row>
    <row r="22">
      <c r="A22" s="2" t="inlineStr">
        <is>
          <t>• Llegar a US$ 10.000 en 2031 exige crecer +30% anual sostenido durante 5 años. Es la banda agresiva, no la típica.</t>
        </is>
      </c>
    </row>
  </sheetData>
  <mergeCells count="5">
    <mergeCell ref="A19:I19"/>
    <mergeCell ref="A18:I18"/>
    <mergeCell ref="A22:I22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2026-08-02T20:26:37Z</dcterms:created>
  <dcterms:modified xmlns:dcterms="http://purl.org/dc/terms/" xmlns:xsi="http://www.w3.org/2001/XMLSchema-instance" xsi:type="dcterms:W3CDTF">2026-08-03T16:15:33Z</dcterms:modified>
</cp:coreProperties>
</file>