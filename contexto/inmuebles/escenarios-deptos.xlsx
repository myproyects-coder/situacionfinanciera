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apacidad Agusti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0" fillId="2" borderId="0" pivotButton="0" quotePrefix="0" xfId="0"/>
    <xf numFmtId="10" fontId="0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80" customWidth="1" min="3" max="3"/>
  </cols>
  <sheetData>
    <row r="1">
      <c r="A1" s="1" t="inlineStr">
        <is>
          <t>Supuestos — celdas amarillas editables. Todo lo demás se recalcula.</t>
        </is>
      </c>
    </row>
    <row r="3">
      <c r="A3" t="inlineStr">
        <is>
          <t>Tipo de cambio de referencia</t>
        </is>
      </c>
      <c r="B3" s="2" t="n">
        <v>1500</v>
      </c>
      <c r="C3" t="inlineStr">
        <is>
          <t>BNA 07-09-2026: 1.480/1.530. No hay TC verificado en resúmenes.</t>
        </is>
      </c>
    </row>
    <row r="4">
      <c r="A4" t="inlineStr">
        <is>
          <t>Valor UVA</t>
        </is>
      </c>
      <c r="B4" s="2" t="n">
        <v>2106.13</v>
      </c>
      <c r="C4" t="inlineStr">
        <is>
          <t>BCRA 07-09-2026</t>
        </is>
      </c>
    </row>
    <row r="5">
      <c r="A5" t="inlineStr">
        <is>
          <t>Depto A (viven) US$</t>
        </is>
      </c>
      <c r="B5" s="2" t="n">
        <v>145000</v>
      </c>
      <c r="C5" t="inlineStr">
        <is>
          <t>Dicho por Agustina. 65 m2, Plaza Irlanda.</t>
        </is>
      </c>
    </row>
    <row r="6">
      <c r="A6" t="inlineStr">
        <is>
          <t>Depto B (en pago) US$</t>
        </is>
      </c>
      <c r="B6" s="2" t="n">
        <v>140000</v>
      </c>
      <c r="C6" t="inlineStr">
        <is>
          <t>Dicho por Agustina. Cid Campeador.</t>
        </is>
      </c>
    </row>
    <row r="7">
      <c r="A7" t="inlineStr">
        <is>
          <t>Saldo pendiente de B (US$)</t>
        </is>
      </c>
      <c r="B7" s="2" t="n">
        <v>0</v>
      </c>
      <c r="C7" t="inlineStr">
        <is>
          <t>DESCONOCIDO. Pedir a Maxi: cuánto falta, moneda, tasa, plazo.</t>
        </is>
      </c>
    </row>
    <row r="8">
      <c r="A8" t="inlineStr">
        <is>
          <t>Depto C objetivo US$</t>
        </is>
      </c>
      <c r="B8" s="2" t="n">
        <v>140000</v>
      </c>
      <c r="C8" t="inlineStr">
        <is>
          <t>Mismas condiciones que B.</t>
        </is>
      </c>
    </row>
    <row r="9">
      <c r="A9" t="inlineStr">
        <is>
          <t>m2 del depto grande</t>
        </is>
      </c>
      <c r="B9" s="2" t="n">
        <v>95</v>
      </c>
      <c r="C9" t="inlineStr">
        <is>
          <t>3-4 ambientes</t>
        </is>
      </c>
    </row>
    <row r="10">
      <c r="A10" t="inlineStr">
        <is>
          <t>US$/m2 Caballito</t>
        </is>
      </c>
      <c r="B10" s="2" t="n">
        <v>2500</v>
      </c>
      <c r="C10" t="inlineStr">
        <is>
          <t>Abr-2026: 1.800 sur a 2.800 Primera Junta</t>
        </is>
      </c>
    </row>
    <row r="11">
      <c r="A11" t="inlineStr">
        <is>
          <t>Costos de compra (% del precio)</t>
        </is>
      </c>
      <c r="B11" s="3" t="n">
        <v>0.08</v>
      </c>
      <c r="C11" t="inlineStr">
        <is>
          <t>Sellos 1,75% + escribano ~2% + comisión 4%+IVA</t>
        </is>
      </c>
    </row>
    <row r="12">
      <c r="A12" t="inlineStr">
        <is>
          <t>Costos de venta (% del precio)</t>
        </is>
      </c>
      <c r="B12" s="3" t="n">
        <v>0.051</v>
      </c>
      <c r="C12" t="inlineStr">
        <is>
          <t>Comisión 3%+IVA + ITI 1,5%</t>
        </is>
      </c>
    </row>
    <row r="13">
      <c r="A13" t="inlineStr">
        <is>
          <t>Alquiler 2 amb 65 m2 ($/mes)</t>
        </is>
      </c>
      <c r="B13" s="2" t="n">
        <v>900000</v>
      </c>
      <c r="C13" t="inlineStr">
        <is>
          <t>Zonaprop abr-2026: 2 amb CABA $834k; Caballito 600-800k para 35-45 m2. Verificar con relevamiento.</t>
        </is>
      </c>
    </row>
    <row r="14">
      <c r="A14" t="inlineStr">
        <is>
          <t>Vacancia (fracción del año)</t>
        </is>
      </c>
      <c r="B14" s="3" t="n">
        <v>0.08333333333333333</v>
      </c>
      <c r="C14" t="inlineStr">
        <is>
          <t>1 mes por año</t>
        </is>
      </c>
    </row>
    <row r="15">
      <c r="A15" t="inlineStr">
        <is>
          <t>Gastos del propietario (% del alquiler)</t>
        </is>
      </c>
      <c r="B15" s="3" t="n">
        <v>0.1</v>
      </c>
      <c r="C15" t="inlineStr">
        <is>
          <t>ABL, mantenimiento, gestión</t>
        </is>
      </c>
    </row>
    <row r="16">
      <c r="A16" t="inlineStr">
        <is>
          <t>TNA hipotecario 1ra vivienda (+UVA)</t>
        </is>
      </c>
      <c r="B16" s="3" t="n">
        <v>0.115</v>
      </c>
      <c r="C16" t="inlineStr">
        <is>
          <t>BBVA sep-2026</t>
        </is>
      </c>
    </row>
    <row r="17">
      <c r="A17" t="inlineStr">
        <is>
          <t>TNA hipotecario 2da vivienda / inversión (+UVA)</t>
        </is>
      </c>
      <c r="B17" s="3" t="n">
        <v>0.15</v>
      </c>
      <c r="C17" t="inlineStr">
        <is>
          <t>Provincia sin cuenta sueldo / 2da vivienda</t>
        </is>
      </c>
    </row>
    <row r="18">
      <c r="A18" t="inlineStr">
        <is>
          <t>Plazo (meses)</t>
        </is>
      </c>
      <c r="B18" s="2" t="n">
        <v>360</v>
      </c>
      <c r="C18" t="inlineStr"/>
    </row>
    <row r="19">
      <c r="A19" t="inlineStr">
        <is>
          <t>Financiación máxima (LTV)</t>
        </is>
      </c>
      <c r="B19" s="3" t="n">
        <v>0.75</v>
      </c>
      <c r="C19" t="inlineStr">
        <is>
          <t>75-80% según banco</t>
        </is>
      </c>
    </row>
    <row r="20">
      <c r="A20" t="inlineStr">
        <is>
          <t>Cuota / ingreso neto máximo</t>
        </is>
      </c>
      <c r="B20" s="3" t="n">
        <v>0.25</v>
      </c>
      <c r="C20" t="inlineStr">
        <is>
          <t>Bancos: 20-30%</t>
        </is>
      </c>
    </row>
    <row r="21">
      <c r="A21" t="inlineStr">
        <is>
          <t>ORT neto ($/mes, demostrable)</t>
        </is>
      </c>
      <c r="B21" s="2" t="n">
        <v>426000</v>
      </c>
      <c r="C21" t="inlineStr">
        <is>
          <t>Recibo de sueldo</t>
        </is>
      </c>
    </row>
    <row r="22">
      <c r="A22" t="inlineStr">
        <is>
          <t>Roxom (USDT/mes)</t>
        </is>
      </c>
      <c r="B22" s="2" t="n">
        <v>1600</v>
      </c>
      <c r="C22" t="inlineStr">
        <is>
          <t>NO demostrable hasta facturar por monotributo</t>
        </is>
      </c>
    </row>
    <row r="23">
      <c r="A23" t="inlineStr">
        <is>
          <t>Roxom si sale la review (USDT/mes)</t>
        </is>
      </c>
      <c r="B23" s="2" t="n">
        <v>2400</v>
      </c>
      <c r="C23" t="inlineStr"/>
    </row>
    <row r="24">
      <c r="A24" t="inlineStr">
        <is>
          <t>CFTEA préstamo personal</t>
        </is>
      </c>
      <c r="B24" s="3" t="n">
        <v>0.9</v>
      </c>
      <c r="C24" t="inlineStr">
        <is>
          <t>Sep-2026: 58,9% premium a 320%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0" customWidth="1" min="4" max="4"/>
  </cols>
  <sheetData>
    <row r="1">
      <c r="A1" s="1" t="inlineStr">
        <is>
          <t>Escenarios comparados</t>
        </is>
      </c>
      <c r="B1" t="inlineStr"/>
      <c r="C1" t="inlineStr"/>
      <c r="D1" t="inlineStr">
        <is>
          <t>Cómo se calcula</t>
        </is>
      </c>
    </row>
    <row r="3">
      <c r="A3" s="1" t="inlineStr">
        <is>
          <t>Alquiler 2 amb</t>
        </is>
      </c>
      <c r="B3" s="4" t="inlineStr"/>
      <c r="C3" t="inlineStr"/>
      <c r="D3" t="inlineStr"/>
    </row>
    <row r="4">
      <c r="A4" t="inlineStr">
        <is>
          <t>Alquiler bruto US$/mes</t>
        </is>
      </c>
      <c r="B4" s="4">
        <f>Supuestos!$B$13/Supuestos!$B$3</f>
        <v/>
      </c>
      <c r="C4" t="inlineStr"/>
      <c r="D4" t="inlineStr">
        <is>
          <t>alquiler / TC</t>
        </is>
      </c>
    </row>
    <row r="5">
      <c r="A5" t="inlineStr">
        <is>
          <t>Alquiler neto US$/mes</t>
        </is>
      </c>
      <c r="B5" s="4">
        <f>Supuestos!$B$13*(1-Supuestos!$B$14)*(1-Supuestos!$B$15)/Supuestos!$B$3</f>
        <v/>
      </c>
      <c r="C5" t="inlineStr"/>
      <c r="D5" t="inlineStr">
        <is>
          <t>neto de vacancia y gastos</t>
        </is>
      </c>
    </row>
    <row r="6">
      <c r="A6" t="inlineStr">
        <is>
          <t>Yield bruto anual</t>
        </is>
      </c>
      <c r="B6" s="5">
        <f>B4*12/Supuestos!$B$6</f>
        <v/>
      </c>
      <c r="C6" t="inlineStr"/>
      <c r="D6" t="inlineStr">
        <is>
          <t>sobre el valor del depto</t>
        </is>
      </c>
    </row>
    <row r="7">
      <c r="A7" t="inlineStr">
        <is>
          <t>Yield neto anual</t>
        </is>
      </c>
      <c r="B7" s="5">
        <f>B5*12/Supuestos!$B$6</f>
        <v/>
      </c>
      <c r="C7" t="inlineStr"/>
      <c r="D7" t="inlineStr"/>
    </row>
    <row r="8">
      <c r="B8" s="4" t="n"/>
    </row>
    <row r="9">
      <c r="A9" s="1" t="inlineStr">
        <is>
          <t>E1 — Comprar C con hipoteca (viven en A, alquilan B y C)</t>
        </is>
      </c>
      <c r="B9" s="4" t="n"/>
    </row>
    <row r="10">
      <c r="A10" t="inlineStr">
        <is>
          <t>Costo total de C con gastos US$</t>
        </is>
      </c>
      <c r="B10" s="4">
        <f>Supuestos!$B$8*(1+Supuestos!$B$11)</f>
        <v/>
      </c>
    </row>
    <row r="11">
      <c r="A11" t="inlineStr">
        <is>
          <t>Préstamo (LTV) US$</t>
        </is>
      </c>
      <c r="B11" s="4">
        <f>Supuestos!$B$8*Supuestos!$B$19</f>
        <v/>
      </c>
    </row>
    <row r="12">
      <c r="A12" t="inlineStr">
        <is>
          <t>Efectivo necesario US$</t>
        </is>
      </c>
      <c r="B12" s="4">
        <f>B10-B11</f>
        <v/>
      </c>
      <c r="C12" t="inlineStr"/>
      <c r="D12" t="inlineStr">
        <is>
          <t>precio + gastos − préstamo. ¿De dónde sale?</t>
        </is>
      </c>
    </row>
    <row r="13">
      <c r="A13" t="inlineStr">
        <is>
          <t>Cuota inicial UVA+1ra $</t>
        </is>
      </c>
      <c r="B13" s="4">
        <f>-PMT(Supuestos!$B$16/12,Supuestos!$B$18,B11*Supuestos!$B$3)</f>
        <v/>
      </c>
      <c r="C13" t="inlineStr"/>
      <c r="D13" t="inlineStr">
        <is>
          <t>sube con UVA cada mes</t>
        </is>
      </c>
    </row>
    <row r="14">
      <c r="A14" t="inlineStr">
        <is>
          <t>Cuota inicial UVA+1ra US$</t>
        </is>
      </c>
      <c r="B14" s="4">
        <f>B13/Supuestos!$B$3</f>
        <v/>
      </c>
    </row>
    <row r="15">
      <c r="A15" t="inlineStr">
        <is>
          <t>Alquiler neto cubre la cuota (1ra)</t>
        </is>
      </c>
      <c r="B15" s="6">
        <f>B5*Supuestos!$B$3/B13</f>
        <v/>
      </c>
    </row>
    <row r="16">
      <c r="A16" t="inlineStr">
        <is>
          <t>Flujo mensual con C alquilado (1ra) US$</t>
        </is>
      </c>
      <c r="B16" s="4">
        <f>B5-B13/Supuestos!$B$3</f>
        <v/>
      </c>
      <c r="C16" t="inlineStr"/>
      <c r="D16" t="inlineStr">
        <is>
          <t>negativo = hay que poner plata todos los meses</t>
        </is>
      </c>
    </row>
    <row r="17">
      <c r="A17" t="inlineStr">
        <is>
          <t>Ingreso neto demostrable mínimo del tomador (1ra) $</t>
        </is>
      </c>
      <c r="B17" s="4">
        <f>B13/Supuestos!$B$20</f>
        <v/>
      </c>
      <c r="C17" t="inlineStr"/>
      <c r="D17" t="inlineStr">
        <is>
          <t>cuota / 25%</t>
        </is>
      </c>
    </row>
    <row r="18">
      <c r="A18" t="inlineStr">
        <is>
          <t>Cuota inicial UVA+2da $</t>
        </is>
      </c>
      <c r="B18" s="4">
        <f>-PMT(Supuestos!$B$17/12,Supuestos!$B$18,B11*Supuestos!$B$3)</f>
        <v/>
      </c>
      <c r="C18" t="inlineStr"/>
      <c r="D18" t="inlineStr">
        <is>
          <t>sube con UVA cada mes</t>
        </is>
      </c>
    </row>
    <row r="19">
      <c r="A19" t="inlineStr">
        <is>
          <t>Cuota inicial UVA+2da US$</t>
        </is>
      </c>
      <c r="B19" s="4">
        <f>B18/Supuestos!$B$3</f>
        <v/>
      </c>
    </row>
    <row r="20">
      <c r="A20" t="inlineStr">
        <is>
          <t>Alquiler neto cubre la cuota (2da)</t>
        </is>
      </c>
      <c r="B20" s="6">
        <f>B5*Supuestos!$B$3/B18</f>
        <v/>
      </c>
    </row>
    <row r="21">
      <c r="A21" t="inlineStr">
        <is>
          <t>Flujo mensual con C alquilado (2da) US$</t>
        </is>
      </c>
      <c r="B21" s="4">
        <f>B5-B18/Supuestos!$B$3</f>
        <v/>
      </c>
      <c r="C21" t="inlineStr"/>
      <c r="D21" t="inlineStr">
        <is>
          <t>negativo = hay que poner plata todos los meses</t>
        </is>
      </c>
    </row>
    <row r="22">
      <c r="A22" t="inlineStr">
        <is>
          <t>Ingreso neto demostrable mínimo del tomador (2da) $</t>
        </is>
      </c>
      <c r="B22" s="4">
        <f>B18/Supuestos!$B$20</f>
        <v/>
      </c>
      <c r="C22" t="inlineStr"/>
      <c r="D22" t="inlineStr">
        <is>
          <t>cuota / 25%</t>
        </is>
      </c>
    </row>
    <row r="23">
      <c r="A23" t="inlineStr">
        <is>
          <t>Flujo total E1: renta B + renta C − cuota C (2da vivienda) US$</t>
        </is>
      </c>
      <c r="B23" s="4">
        <f>B5*2-B18/Supuestos!$B$3</f>
        <v/>
      </c>
      <c r="C23" t="inlineStr"/>
      <c r="D23" t="inlineStr">
        <is>
          <t>lo que queda para la pareja cada mes</t>
        </is>
      </c>
    </row>
    <row r="24">
      <c r="B24" s="4" t="n"/>
    </row>
    <row r="25">
      <c r="A25" s="1" t="inlineStr">
        <is>
          <t>E2 — Vender A y B, comprar uno grande</t>
        </is>
      </c>
      <c r="B25" s="4" t="n"/>
    </row>
    <row r="26">
      <c r="A26" t="inlineStr">
        <is>
          <t>Precio depto grande US$</t>
        </is>
      </c>
      <c r="B26" s="4">
        <f>Supuestos!$B$9*Supuestos!$B$10</f>
        <v/>
      </c>
    </row>
    <row r="27">
      <c r="A27" t="inlineStr">
        <is>
          <t>Costo con gastos de compra US$</t>
        </is>
      </c>
      <c r="B27" s="4">
        <f>B26*(1+Supuestos!$B$11)</f>
        <v/>
      </c>
    </row>
    <row r="28">
      <c r="A28" t="inlineStr">
        <is>
          <t>Neto de vender A y B US$</t>
        </is>
      </c>
      <c r="B28" s="4">
        <f>(Supuestos!$B$5+Supuestos!$B$6)*(1-Supuestos!$B$12)-Supuestos!$B$7</f>
        <v/>
      </c>
    </row>
    <row r="29">
      <c r="A29" t="inlineStr">
        <is>
          <t>Fricción total (se pierde) US$</t>
        </is>
      </c>
      <c r="B29" s="4">
        <f>(Supuestos!$B$5+Supuestos!$B$6)*Supuestos!$B$12+B26*Supuestos!$B$11</f>
        <v/>
      </c>
      <c r="C29" t="inlineStr"/>
      <c r="D29" t="inlineStr">
        <is>
          <t>comisiones, sellos, ITI, escribano</t>
        </is>
      </c>
    </row>
    <row r="30">
      <c r="A30" t="inlineStr">
        <is>
          <t>Sobra (+) / falta (−) US$</t>
        </is>
      </c>
      <c r="B30" s="4">
        <f>B28-B27</f>
        <v/>
      </c>
    </row>
    <row r="31">
      <c r="A31" t="inlineStr">
        <is>
          <t>Renta que se pierde al vender B US$/mes</t>
        </is>
      </c>
      <c r="B31" s="4">
        <f>B5</f>
        <v/>
      </c>
    </row>
    <row r="32">
      <c r="B32" s="4" t="n"/>
    </row>
    <row r="33">
      <c r="A33" s="1" t="inlineStr">
        <is>
          <t>E3 — Quedarse con A y B, alquilar B, no comprar</t>
        </is>
      </c>
      <c r="B33" s="4" t="n"/>
    </row>
    <row r="34">
      <c r="A34" t="inlineStr">
        <is>
          <t>Flujo mensual US$</t>
        </is>
      </c>
      <c r="B34" s="4">
        <f>B5</f>
        <v/>
      </c>
    </row>
    <row r="35">
      <c r="A35" t="inlineStr">
        <is>
          <t>Ahorro mensual adicional de la pareja US$ (editar)</t>
        </is>
      </c>
      <c r="B35" s="7" t="n">
        <v>500</v>
      </c>
    </row>
    <row r="36">
      <c r="A36" t="inlineStr">
        <is>
          <t>Efectivo necesario para C (75% LTV) US$</t>
        </is>
      </c>
      <c r="B36" s="4">
        <f>B10-B11</f>
        <v/>
      </c>
      <c r="C36" t="inlineStr"/>
      <c r="D36" t="inlineStr">
        <is>
          <t>efectivo necesario</t>
        </is>
      </c>
    </row>
    <row r="37">
      <c r="A37" t="inlineStr">
        <is>
          <t>Meses para juntarlo con renta B + ahorro</t>
        </is>
      </c>
      <c r="B37" s="4">
        <f>B36/(B5+B35)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90" customWidth="1" min="6" max="6"/>
  </cols>
  <sheetData>
    <row r="1">
      <c r="A1" s="1" t="inlineStr">
        <is>
          <t>Capacidad hipotecaria de Agustina — cuota ≤ ratio × ingreso neto demostrable</t>
        </is>
      </c>
    </row>
    <row r="2">
      <c r="A2" s="1" t="inlineStr">
        <is>
          <t>Escenario de ingreso</t>
        </is>
      </c>
      <c r="B2" s="1" t="inlineStr">
        <is>
          <t>Ingreso neto demostrable $</t>
        </is>
      </c>
      <c r="C2" s="1" t="inlineStr">
        <is>
          <t>Cuota máx $</t>
        </is>
      </c>
      <c r="D2" s="1" t="inlineStr">
        <is>
          <t>Préstamo US$ (1ra)</t>
        </is>
      </c>
      <c r="E2" s="1" t="inlineStr">
        <is>
          <t>Préstamo US$ (2da)</t>
        </is>
      </c>
      <c r="F2" s="1" t="inlineStr">
        <is>
          <t>Condición</t>
        </is>
      </c>
    </row>
    <row r="3">
      <c r="A3" t="inlineStr">
        <is>
          <t>Hoy: sólo ORT</t>
        </is>
      </c>
      <c r="B3" s="4">
        <f>Supuestos!$B$21</f>
        <v/>
      </c>
      <c r="C3" s="4">
        <f>B3*Supuestos!$B$20</f>
        <v/>
      </c>
      <c r="D3" s="4">
        <f>PV(Supuestos!$B$16/12,Supuestos!$B$18,-C3)/Supuestos!$B$3</f>
        <v/>
      </c>
      <c r="E3" s="4">
        <f>PV(Supuestos!$B$17/12,Supuestos!$B$18,-C3)/Supuestos!$B$3</f>
        <v/>
      </c>
      <c r="F3" t="inlineStr">
        <is>
          <t>En mora en Galicia Mastercard: ningún banco precalifica hasta salir y que BCRA lo refleje.</t>
        </is>
      </c>
    </row>
    <row r="4">
      <c r="A4" t="inlineStr">
        <is>
          <t>ORT + Roxom 1.600 facturado</t>
        </is>
      </c>
      <c r="B4" s="4">
        <f>Supuestos!$B$21+Supuestos!$B$22*Supuestos!$B$3</f>
        <v/>
      </c>
      <c r="C4" s="4">
        <f>B4*Supuestos!$B$20</f>
        <v/>
      </c>
      <c r="D4" s="4">
        <f>PV(Supuestos!$B$16/12,Supuestos!$B$18,-C4)/Supuestos!$B$3</f>
        <v/>
      </c>
      <c r="E4" s="4">
        <f>PV(Supuestos!$B$17/12,Supuestos!$B$18,-C4)/Supuestos!$B$3</f>
        <v/>
      </c>
      <c r="F4" t="inlineStr">
        <is>
          <t>Requiere 6-12 meses de facturas de monotributo. Cada banco aplica su descuento.</t>
        </is>
      </c>
    </row>
    <row r="5">
      <c r="A5" t="inlineStr">
        <is>
          <t>ORT + Roxom 2.400 facturado</t>
        </is>
      </c>
      <c r="B5" s="4">
        <f>Supuestos!$B$21+Supuestos!$B$23*Supuestos!$B$3</f>
        <v/>
      </c>
      <c r="C5" s="4">
        <f>B5*Supuestos!$B$20</f>
        <v/>
      </c>
      <c r="D5" s="4">
        <f>PV(Supuestos!$B$16/12,Supuestos!$B$18,-C5)/Supuestos!$B$3</f>
        <v/>
      </c>
      <c r="E5" s="4">
        <f>PV(Supuestos!$B$17/12,Supuestos!$B$18,-C5)/Supuestos!$B$3</f>
        <v/>
      </c>
      <c r="F5" t="inlineStr">
        <is>
          <t>Si sale la review y se factura.</t>
        </is>
      </c>
    </row>
    <row r="7">
      <c r="A7" s="1" t="inlineStr">
        <is>
          <t>Préstamo personal en vez de hipoteca</t>
        </is>
      </c>
    </row>
    <row r="8">
      <c r="A8" t="inlineStr">
        <is>
          <t>Costo mensual del préstamo (TEM desde CFTEA)</t>
        </is>
      </c>
      <c r="B8" s="5">
        <f>(1+Supuestos!$B$24)^(1/12)-1</f>
        <v/>
      </c>
    </row>
    <row r="9">
      <c r="A9" t="inlineStr">
        <is>
          <t>Renta neta mensual del depto</t>
        </is>
      </c>
      <c r="B9" s="5">
        <f>Escenarios!B7/12</f>
        <v/>
      </c>
    </row>
    <row r="10">
      <c r="A10" t="inlineStr">
        <is>
          <t>Carry mensual (renta − costo)</t>
        </is>
      </c>
      <c r="B10" s="5">
        <f>B9-B8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2026-09-08T01:05:35Z</dcterms:created>
  <dcterms:modified xmlns:dcterms="http://purl.org/dc/terms/" xmlns:xsi="http://www.w3.org/2001/XMLSchema-instance" xsi:type="dcterms:W3CDTF">2026-09-08T01:05:35Z</dcterms:modified>
</cp:coreProperties>
</file>